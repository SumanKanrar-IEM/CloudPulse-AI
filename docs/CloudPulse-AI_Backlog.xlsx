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'Backlog'!$A$1:$N$67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232F3E"/>
      <sz val="14"/>
    </font>
    <font>
      <name val="Arial"/>
      <charset val="1"/>
      <i val="1"/>
      <color rgb="FF888888"/>
      <sz val="9"/>
    </font>
  </fonts>
  <fills count="26">
    <fill>
      <patternFill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2F4F8"/>
        <bgColor rgb="FFFFFFFF"/>
      </patternFill>
    </fill>
    <fill>
      <patternFill patternType="solid">
        <fgColor theme="3" tint="0.3999755851924192"/>
        <bgColor rgb="FFFFFFFF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6" tint="0.3999755851924192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00E6F4EA"/>
      </patternFill>
    </fill>
    <fill>
      <patternFill patternType="solid">
        <fgColor rgb="00EEEEEE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3" borderId="1" pivotButton="0" quotePrefix="0" xfId="0"/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wrapText="1"/>
    </xf>
    <xf numFmtId="9" fontId="1" fillId="0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vertical="top" wrapText="1"/>
    </xf>
    <xf numFmtId="0" fontId="1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top" wrapText="1"/>
    </xf>
    <xf numFmtId="0" fontId="1" fillId="16" borderId="1" applyAlignment="1" pivotButton="0" quotePrefix="0" xfId="0">
      <alignment vertical="top" wrapText="1"/>
    </xf>
    <xf numFmtId="0" fontId="1" fillId="17" borderId="1" applyAlignment="1" pivotButton="0" quotePrefix="0" xfId="0">
      <alignment vertical="top" wrapText="1"/>
    </xf>
    <xf numFmtId="0" fontId="1" fillId="18" borderId="1" applyAlignment="1" pivotButton="0" quotePrefix="0" xfId="0">
      <alignment vertical="top" wrapText="1"/>
    </xf>
    <xf numFmtId="0" fontId="1" fillId="19" borderId="1" applyAlignment="1" pivotButton="0" quotePrefix="0" xfId="0">
      <alignment vertical="top" wrapText="1"/>
    </xf>
    <xf numFmtId="0" fontId="1" fillId="20" borderId="1" applyAlignment="1" pivotButton="0" quotePrefix="0" xfId="0">
      <alignment vertical="top" wrapText="1"/>
    </xf>
    <xf numFmtId="0" fontId="1" fillId="21" borderId="1" applyAlignment="1" pivotButton="0" quotePrefix="0" xfId="0">
      <alignment vertical="top" wrapText="1"/>
    </xf>
    <xf numFmtId="0" fontId="1" fillId="22" borderId="1" applyAlignment="1" pivotButton="0" quotePrefix="0" xfId="0">
      <alignment vertical="top" wrapText="1"/>
    </xf>
    <xf numFmtId="0" fontId="1" fillId="23" borderId="1" pivotButton="0" quotePrefix="0" xfId="0"/>
    <xf numFmtId="0" fontId="1" fillId="24" borderId="1" pivotButton="0" quotePrefix="0" xfId="0"/>
    <xf numFmtId="0" fontId="1" fillId="2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4F8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tabSelected="1" zoomScaleNormal="100" workbookViewId="0">
      <pane ySplit="1" topLeftCell="A2" activePane="bottomLeft" state="frozen"/>
      <selection pane="bottomLeft" activeCell="F62" sqref="F62"/>
    </sheetView>
  </sheetViews>
  <sheetFormatPr baseColWidth="10" defaultColWidth="8.6640625" defaultRowHeight="15"/>
  <cols>
    <col width="8" customWidth="1" min="1" max="2"/>
    <col width="26" customWidth="1" min="3" max="3"/>
    <col width="14" customWidth="1" min="4" max="4"/>
    <col width="8" customWidth="1" min="5" max="5"/>
    <col width="52" customWidth="1" min="6" max="6"/>
    <col width="42" customWidth="1" min="7" max="7"/>
    <col width="7" customWidth="1" min="8" max="8"/>
    <col width="10" customWidth="1" min="9" max="9"/>
    <col width="7" customWidth="1" min="10" max="10"/>
    <col width="9" customWidth="1" min="11" max="11"/>
    <col width="10" customWidth="1" min="12" max="12"/>
    <col width="22" customWidth="1" min="13" max="13"/>
    <col width="62" customWidth="1" min="14" max="14"/>
  </cols>
  <sheetData>
    <row r="1" ht="42" customHeight="1">
      <c r="A1" s="2" t="inlineStr">
        <is>
          <t>Release</t>
        </is>
      </c>
      <c r="B1" s="2" t="inlineStr">
        <is>
          <t>Epic ID</t>
        </is>
      </c>
      <c r="C1" s="2" t="inlineStr">
        <is>
          <t>Epic</t>
        </is>
      </c>
      <c r="D1" s="2" t="inlineStr">
        <is>
          <t>Feature</t>
        </is>
      </c>
      <c r="E1" s="2" t="inlineStr">
        <is>
          <t>Story ID</t>
        </is>
      </c>
      <c r="F1" s="2" t="inlineStr">
        <is>
          <t>Story</t>
        </is>
      </c>
      <c r="G1" s="2" t="inlineStr">
        <is>
          <t>Acceptance criteria</t>
        </is>
      </c>
      <c r="H1" s="2" t="inlineStr">
        <is>
          <t>Role</t>
        </is>
      </c>
      <c r="I1" s="2" t="inlineStr">
        <is>
          <t>Estimate (person-days)</t>
        </is>
      </c>
      <c r="J1" s="2" t="inlineStr">
        <is>
          <t>Target week</t>
        </is>
      </c>
      <c r="K1" s="2" t="inlineStr">
        <is>
          <t>Priority</t>
        </is>
      </c>
      <c r="L1" s="2" t="inlineStr">
        <is>
          <t>Depends on</t>
        </is>
      </c>
      <c r="M1" s="2" t="inlineStr">
        <is>
          <t>Status</t>
        </is>
      </c>
      <c r="N1" s="2" t="inlineStr">
        <is>
          <t>As built (spec · note)</t>
        </is>
      </c>
    </row>
    <row r="2" ht="28" customHeight="1">
      <c r="A2" s="3" t="inlineStr">
        <is>
          <t>R1</t>
        </is>
      </c>
      <c r="B2" s="3" t="inlineStr">
        <is>
          <t>E1</t>
        </is>
      </c>
      <c r="C2" s="12" t="inlineStr">
        <is>
          <t>Platform Foundation</t>
        </is>
      </c>
      <c r="D2" s="12" t="inlineStr">
        <is>
          <t>Infrastructure as Code</t>
        </is>
      </c>
      <c r="E2" s="12" t="inlineStr">
        <is>
          <t>S1</t>
        </is>
      </c>
      <c r="F2" s="12" t="inlineStr">
        <is>
          <t>Terraform baseline: repo structure, S3+DynamoDB state, dev/prod env skeletons, networking for Aurora</t>
        </is>
      </c>
      <c r="G2" s="3" t="inlineStr">
        <is>
          <t>terraform apply creates empty env in a fresh account</t>
        </is>
      </c>
      <c r="H2" s="3" t="inlineStr">
        <is>
          <t>DevOps</t>
        </is>
      </c>
      <c r="I2" s="3" t="n">
        <v>2</v>
      </c>
      <c r="J2" s="3" t="n">
        <v>1</v>
      </c>
      <c r="K2" s="3" t="inlineStr">
        <is>
          <t>Must</t>
        </is>
      </c>
      <c r="L2" s="3" t="n"/>
      <c r="M2" s="31" t="inlineStr">
        <is>
          <t>Delivered — P1</t>
        </is>
      </c>
      <c r="N2" s="5" t="inlineStr">
        <is>
          <t>Spec 001 — Terraform, two env roots, S3 + DynamoDB state</t>
        </is>
      </c>
    </row>
    <row r="3" ht="28" customHeight="1">
      <c r="A3" s="5" t="inlineStr">
        <is>
          <t>R1</t>
        </is>
      </c>
      <c r="B3" s="5" t="inlineStr">
        <is>
          <t>E1</t>
        </is>
      </c>
      <c r="C3" s="13" t="inlineStr">
        <is>
          <t>Platform Foundation</t>
        </is>
      </c>
      <c r="D3" s="13" t="inlineStr">
        <is>
          <t>CI pipeline</t>
        </is>
      </c>
      <c r="E3" s="13" t="inlineStr">
        <is>
          <t>S2</t>
        </is>
      </c>
      <c r="F3" s="13" t="inlineStr">
        <is>
          <t>GitHub Actions CI: ruff, mypy, pytest+moto, Angular build, terraform validate/plan on PR</t>
        </is>
      </c>
      <c r="G3" s="5" t="inlineStr">
        <is>
          <t>All checks gate merges to main</t>
        </is>
      </c>
      <c r="H3" s="5" t="inlineStr">
        <is>
          <t>DevOps</t>
        </is>
      </c>
      <c r="I3" s="5" t="n">
        <v>2</v>
      </c>
      <c r="J3" s="5" t="n">
        <v>1</v>
      </c>
      <c r="K3" s="5" t="inlineStr">
        <is>
          <t>Must</t>
        </is>
      </c>
      <c r="L3" s="5" t="inlineStr">
        <is>
          <t>S1</t>
        </is>
      </c>
      <c r="M3" s="31" t="inlineStr">
        <is>
          <t>Delivered — P1</t>
        </is>
      </c>
      <c r="N3" s="5" t="inlineStr">
        <is>
          <t>Spec 001 — CI grew to 16 required checks</t>
        </is>
      </c>
    </row>
    <row r="4" ht="28" customHeight="1">
      <c r="A4" s="3" t="inlineStr">
        <is>
          <t>R1</t>
        </is>
      </c>
      <c r="B4" s="3" t="inlineStr">
        <is>
          <t>E1</t>
        </is>
      </c>
      <c r="C4" s="12" t="inlineStr">
        <is>
          <t>Platform Foundation</t>
        </is>
      </c>
      <c r="D4" s="12" t="inlineStr">
        <is>
          <t>CD pipeline</t>
        </is>
      </c>
      <c r="E4" s="12" t="inlineStr">
        <is>
          <t>S3</t>
        </is>
      </c>
      <c r="F4" s="12" t="inlineStr">
        <is>
          <t>CD with GitHub OIDC roles: auto-deploy dev on merge, gated prod deploy, Alembic migration step</t>
        </is>
      </c>
      <c r="G4" s="3" t="inlineStr">
        <is>
          <t>Merge to main reaches dev unattended; prod needs approval</t>
        </is>
      </c>
      <c r="H4" s="3" t="inlineStr">
        <is>
          <t>DevOps</t>
        </is>
      </c>
      <c r="I4" s="3" t="n">
        <v>2</v>
      </c>
      <c r="J4" s="3" t="n">
        <v>2</v>
      </c>
      <c r="K4" s="3" t="inlineStr">
        <is>
          <t>Must</t>
        </is>
      </c>
      <c r="L4" s="3" t="inlineStr">
        <is>
          <t>S2</t>
        </is>
      </c>
      <c r="M4" s="31" t="inlineStr">
        <is>
          <t>Delivered — P1</t>
        </is>
      </c>
      <c r="N4" s="5" t="inlineStr">
        <is>
          <t>Spec 001 — OIDC deploys; auto-deploy is opt-in (DEV_AUTO_DEPLOY), prod unused by decision</t>
        </is>
      </c>
    </row>
    <row r="5" ht="42" customHeight="1">
      <c r="A5" s="5" t="inlineStr">
        <is>
          <t>R1</t>
        </is>
      </c>
      <c r="B5" s="5" t="inlineStr">
        <is>
          <t>E1</t>
        </is>
      </c>
      <c r="C5" s="13" t="inlineStr">
        <is>
          <t>Platform Foundation</t>
        </is>
      </c>
      <c r="D5" s="13" t="inlineStr">
        <is>
          <t>Database</t>
        </is>
      </c>
      <c r="E5" s="13" t="inlineStr">
        <is>
          <t>S4</t>
        </is>
      </c>
      <c r="F5" s="13" t="inlineStr">
        <is>
          <t>Aurora Serverless v2 (PostgreSQL) + Alembic baseline schema (tenants, accounts, resources, rules, findings, owners, scans, audit)</t>
        </is>
      </c>
      <c r="G5" s="5" t="inlineStr">
        <is>
          <t>Migrations run in pipeline; ERD in repo</t>
        </is>
      </c>
      <c r="H5" s="5" t="inlineStr">
        <is>
          <t>BE1</t>
        </is>
      </c>
      <c r="I5" s="5" t="n">
        <v>2</v>
      </c>
      <c r="J5" s="5" t="n">
        <v>1</v>
      </c>
      <c r="K5" s="5" t="inlineStr">
        <is>
          <t>Must</t>
        </is>
      </c>
      <c r="L5" s="5" t="inlineStr">
        <is>
          <t>S1</t>
        </is>
      </c>
      <c r="M5" s="31" t="inlineStr">
        <is>
          <t>Delivered — P1</t>
        </is>
      </c>
      <c r="N5" s="5" t="inlineStr">
        <is>
          <t>Spec 001 — Aurora Serverless v2, Alembic (17 migrations)</t>
        </is>
      </c>
    </row>
    <row r="6" ht="28" customHeight="1">
      <c r="A6" s="3" t="inlineStr">
        <is>
          <t>R1</t>
        </is>
      </c>
      <c r="B6" s="3" t="inlineStr">
        <is>
          <t>E1</t>
        </is>
      </c>
      <c r="C6" s="12" t="inlineStr">
        <is>
          <t>Platform Foundation</t>
        </is>
      </c>
      <c r="D6" s="12" t="inlineStr">
        <is>
          <t>Identity</t>
        </is>
      </c>
      <c r="E6" s="12" t="inlineStr">
        <is>
          <t>S5</t>
        </is>
      </c>
      <c r="F6" s="12" t="inlineStr">
        <is>
          <t>Cognito user pool, admin/operator/viewer groups, hosted UI, JWT authorizer on API Gateway</t>
        </is>
      </c>
      <c r="G6" s="3" t="inlineStr">
        <is>
          <t>Login works end-to-end; role claims in JWT</t>
        </is>
      </c>
      <c r="H6" s="3" t="inlineStr">
        <is>
          <t>DevOps</t>
        </is>
      </c>
      <c r="I6" s="3" t="n">
        <v>2</v>
      </c>
      <c r="J6" s="3" t="n">
        <v>2</v>
      </c>
      <c r="K6" s="3" t="inlineStr">
        <is>
          <t>Must</t>
        </is>
      </c>
      <c r="L6" s="3" t="inlineStr">
        <is>
          <t>S1</t>
        </is>
      </c>
      <c r="M6" s="31" t="inlineStr">
        <is>
          <t>Delivered — P1</t>
        </is>
      </c>
      <c r="N6" s="5" t="inlineStr">
        <is>
          <t>Spec 001 — Cognito, three groups, Lambda authorizer</t>
        </is>
      </c>
    </row>
    <row r="7" ht="28" customHeight="1">
      <c r="A7" s="5" t="inlineStr">
        <is>
          <t>R1</t>
        </is>
      </c>
      <c r="B7" s="5" t="inlineStr">
        <is>
          <t>E1</t>
        </is>
      </c>
      <c r="C7" s="13" t="inlineStr">
        <is>
          <t>Platform Foundation</t>
        </is>
      </c>
      <c r="D7" s="13" t="inlineStr">
        <is>
          <t>API skeleton</t>
        </is>
      </c>
      <c r="E7" s="13" t="inlineStr">
        <is>
          <t>S6</t>
        </is>
      </c>
      <c r="F7" s="13" t="inlineStr">
        <is>
          <t>FastAPI + Mangum on Lambda behind HTTP API; Powertools logging/tracing/metrics; health + error envelope</t>
        </is>
      </c>
      <c r="G7" s="5" t="inlineStr">
        <is>
          <t>GET /health 200 via CloudFront path; structured logs in CloudWatch</t>
        </is>
      </c>
      <c r="H7" s="5" t="inlineStr">
        <is>
          <t>BE1</t>
        </is>
      </c>
      <c r="I7" s="5" t="n">
        <v>2</v>
      </c>
      <c r="J7" s="5" t="n">
        <v>1</v>
      </c>
      <c r="K7" s="5" t="inlineStr">
        <is>
          <t>Must</t>
        </is>
      </c>
      <c r="L7" s="5" t="inlineStr">
        <is>
          <t>S1</t>
        </is>
      </c>
      <c r="M7" s="31" t="inlineStr">
        <is>
          <t>Delivered — P1</t>
        </is>
      </c>
      <c r="N7" s="5" t="inlineStr">
        <is>
          <t>Spec 001 — FastAPI + Mangum, Powertools logging</t>
        </is>
      </c>
    </row>
    <row r="8" ht="28" customHeight="1">
      <c r="A8" s="3" t="inlineStr">
        <is>
          <t>R1</t>
        </is>
      </c>
      <c r="B8" s="3" t="inlineStr">
        <is>
          <t>E1</t>
        </is>
      </c>
      <c r="C8" s="12" t="inlineStr">
        <is>
          <t>Platform Foundation</t>
        </is>
      </c>
      <c r="D8" s="12" t="inlineStr">
        <is>
          <t>Observability</t>
        </is>
      </c>
      <c r="E8" s="12" t="inlineStr">
        <is>
          <t>S7</t>
        </is>
      </c>
      <c r="F8" s="12" t="inlineStr">
        <is>
          <t>CloudWatch dashboard + alarms (API 5xx, scan failures, DLQ depth) with email alerts</t>
        </is>
      </c>
      <c r="G8" s="3" t="inlineStr">
        <is>
          <t>Forced failure pages the team</t>
        </is>
      </c>
      <c r="H8" s="3" t="inlineStr">
        <is>
          <t>DevOps</t>
        </is>
      </c>
      <c r="I8" s="3" t="n">
        <v>1.5</v>
      </c>
      <c r="J8" s="3" t="n">
        <v>3</v>
      </c>
      <c r="K8" s="3" t="inlineStr">
        <is>
          <t>Should</t>
        </is>
      </c>
      <c r="L8" s="3" t="inlineStr">
        <is>
          <t>S3</t>
        </is>
      </c>
      <c r="M8" s="31" t="inlineStr">
        <is>
          <t>Delivered — P2</t>
        </is>
      </c>
      <c r="N8" s="5" t="inlineStr">
        <is>
          <t>Spec 001 — observability module, off by default</t>
        </is>
      </c>
    </row>
    <row r="9" ht="56" customHeight="1">
      <c r="A9" s="5" t="inlineStr">
        <is>
          <t>R1</t>
        </is>
      </c>
      <c r="B9" s="5" t="inlineStr">
        <is>
          <t>E2</t>
        </is>
      </c>
      <c r="C9" s="14" t="inlineStr">
        <is>
          <t>Account Onboarding &amp; Access</t>
        </is>
      </c>
      <c r="D9" s="14" t="inlineStr">
        <is>
          <t>Scanner role</t>
        </is>
      </c>
      <c r="E9" s="14" t="inlineStr">
        <is>
          <t>S8</t>
        </is>
      </c>
      <c r="F9" s="14" t="inlineStr">
        <is>
          <t>Two auth modes (roles only): same-account local IAM role for the launch account + CloudFormation CloudPulseScannerRole template (ExternalId) for future cross-account. No access-key auth.</t>
        </is>
      </c>
      <c r="G9" s="5" t="inlineStr">
        <is>
          <t>Same-account scan works with zero AssumeRole; cross-account template deploys in &lt;5 min and fails without ExternalId</t>
        </is>
      </c>
      <c r="H9" s="5" t="inlineStr">
        <is>
          <t>BE2</t>
        </is>
      </c>
      <c r="I9" s="5" t="n">
        <v>2</v>
      </c>
      <c r="J9" s="5" t="n">
        <v>1</v>
      </c>
      <c r="K9" s="5" t="inlineStr">
        <is>
          <t>Must</t>
        </is>
      </c>
      <c r="L9" s="5" t="n"/>
      <c r="M9" s="31" t="inlineStr">
        <is>
          <t>Delivered — P1</t>
        </is>
      </c>
      <c r="N9" s="5" t="inlineStr">
        <is>
          <t>Spec 002 — same-account and cross-account modes; same-account grants fixed live (T063)</t>
        </is>
      </c>
    </row>
    <row r="10" ht="42" customHeight="1">
      <c r="A10" s="3" t="inlineStr">
        <is>
          <t>R1</t>
        </is>
      </c>
      <c r="B10" s="3" t="inlineStr">
        <is>
          <t>E2</t>
        </is>
      </c>
      <c r="C10" s="15" t="inlineStr">
        <is>
          <t>Account Onboarding &amp; Access</t>
        </is>
      </c>
      <c r="D10" s="15" t="inlineStr">
        <is>
          <t>Registration</t>
        </is>
      </c>
      <c r="E10" s="15" t="inlineStr">
        <is>
          <t>S9</t>
        </is>
      </c>
      <c r="F10" s="15" t="inlineStr">
        <is>
          <t>Account registration API: add account (mode, role ARN, scan-region list, default us-east-1), verify via dry-run credential check + minimal describe</t>
        </is>
      </c>
      <c r="G10" s="3" t="inlineStr">
        <is>
          <t>Bad role/ExternalId/region rejected with a clear error; regions editable later</t>
        </is>
      </c>
      <c r="H10" s="3" t="inlineStr">
        <is>
          <t>BE2</t>
        </is>
      </c>
      <c r="I10" s="3" t="n">
        <v>1.5</v>
      </c>
      <c r="J10" s="3" t="n">
        <v>1</v>
      </c>
      <c r="K10" s="3" t="inlineStr">
        <is>
          <t>Must</t>
        </is>
      </c>
      <c r="L10" s="3" t="inlineStr">
        <is>
          <t>S6,S8</t>
        </is>
      </c>
      <c r="M10" s="31" t="inlineStr">
        <is>
          <t>Delivered — P1</t>
        </is>
      </c>
      <c r="N10" s="5" t="inlineStr">
        <is>
          <t>Spec 002 — registration API with ExternalId; failure reason added (T062)</t>
        </is>
      </c>
    </row>
    <row r="11" ht="28" customHeight="1">
      <c r="A11" s="5" t="inlineStr">
        <is>
          <t>R1</t>
        </is>
      </c>
      <c r="B11" s="5" t="inlineStr">
        <is>
          <t>E2</t>
        </is>
      </c>
      <c r="C11" s="14" t="inlineStr">
        <is>
          <t>Account Onboarding &amp; Access</t>
        </is>
      </c>
      <c r="D11" s="14" t="inlineStr">
        <is>
          <t>Admin UI</t>
        </is>
      </c>
      <c r="E11" s="14" t="inlineStr">
        <is>
          <t>S10</t>
        </is>
      </c>
      <c r="F11" s="14" t="inlineStr">
        <is>
          <t>Accounts admin page: list/add/verify accounts, scan status per account</t>
        </is>
      </c>
      <c r="G11" s="5" t="inlineStr">
        <is>
          <t>Operator onboards an account without touching AWS console (except stack deploy)</t>
        </is>
      </c>
      <c r="H11" s="5" t="inlineStr">
        <is>
          <t>FE</t>
        </is>
      </c>
      <c r="I11" s="5" t="n">
        <v>1.5</v>
      </c>
      <c r="J11" s="5" t="n">
        <v>2</v>
      </c>
      <c r="K11" s="5" t="inlineStr">
        <is>
          <t>Must</t>
        </is>
      </c>
      <c r="L11" s="5" t="inlineStr">
        <is>
          <t>S9</t>
        </is>
      </c>
      <c r="M11" s="31" t="inlineStr">
        <is>
          <t>Delivered — P1</t>
        </is>
      </c>
      <c r="N11" s="5" t="inlineStr">
        <is>
          <t>Spec 002 — accounts page</t>
        </is>
      </c>
    </row>
    <row r="12" ht="28" customHeight="1">
      <c r="A12" s="3" t="inlineStr">
        <is>
          <t>R1</t>
        </is>
      </c>
      <c r="B12" s="3" t="inlineStr">
        <is>
          <t>E3</t>
        </is>
      </c>
      <c r="C12" s="16" t="inlineStr">
        <is>
          <t>Resource Discovery Engine</t>
        </is>
      </c>
      <c r="D12" s="16" t="inlineStr">
        <is>
          <t>Resource model</t>
        </is>
      </c>
      <c r="E12" s="16" t="inlineStr">
        <is>
          <t>S11</t>
        </is>
      </c>
      <c r="F12" s="16" t="inlineStr">
        <is>
          <t>Normalized resource model (Pydantic) + provider connector interface (AWS first, Azure-shaped)</t>
        </is>
      </c>
      <c r="G12" s="3" t="inlineStr">
        <is>
          <t>Connector contract documented; AWS connector implements it</t>
        </is>
      </c>
      <c r="H12" s="3" t="inlineStr">
        <is>
          <t>BE1</t>
        </is>
      </c>
      <c r="I12" s="3" t="n">
        <v>1.5</v>
      </c>
      <c r="J12" s="3" t="n">
        <v>1</v>
      </c>
      <c r="K12" s="3" t="inlineStr">
        <is>
          <t>Must</t>
        </is>
      </c>
      <c r="L12" s="3" t="n"/>
      <c r="M12" s="31" t="inlineStr">
        <is>
          <t>Delivered — P1</t>
        </is>
      </c>
      <c r="N12" s="5" t="inlineStr">
        <is>
          <t>Spec 002 — normalized model + Connector protocol</t>
        </is>
      </c>
    </row>
    <row r="13" ht="28" customHeight="1">
      <c r="A13" s="5" t="inlineStr">
        <is>
          <t>R1</t>
        </is>
      </c>
      <c r="B13" s="5" t="inlineStr">
        <is>
          <t>E3</t>
        </is>
      </c>
      <c r="C13" s="17" t="inlineStr">
        <is>
          <t>Resource Discovery Engine</t>
        </is>
      </c>
      <c r="D13" s="17" t="inlineStr">
        <is>
          <t>Sweep</t>
        </is>
      </c>
      <c r="E13" s="17" t="inlineStr">
        <is>
          <t>S12</t>
        </is>
      </c>
      <c r="F13" s="17" t="inlineStr">
        <is>
          <t>Tagging API sweep Lambda: paginated GetResources per region, ARN parsing to service/type</t>
        </is>
      </c>
      <c r="G13" s="5" t="inlineStr">
        <is>
          <t>All tagged resources of a test account land normalized</t>
        </is>
      </c>
      <c r="H13" s="5" t="inlineStr">
        <is>
          <t>BE2</t>
        </is>
      </c>
      <c r="I13" s="5" t="n">
        <v>1.5</v>
      </c>
      <c r="J13" s="5" t="n">
        <v>1</v>
      </c>
      <c r="K13" s="5" t="inlineStr">
        <is>
          <t>Must</t>
        </is>
      </c>
      <c r="L13" s="5" t="inlineStr">
        <is>
          <t>S11</t>
        </is>
      </c>
      <c r="M13" s="31" t="inlineStr">
        <is>
          <t>Delivered — P1</t>
        </is>
      </c>
      <c r="N13" s="5" t="inlineStr">
        <is>
          <t>Spec 002 — Tagging API + Cloud Control sweep</t>
        </is>
      </c>
    </row>
    <row r="14" ht="28" customHeight="1">
      <c r="A14" s="3" t="inlineStr">
        <is>
          <t>R1</t>
        </is>
      </c>
      <c r="B14" s="3" t="inlineStr">
        <is>
          <t>E3</t>
        </is>
      </c>
      <c r="C14" s="16" t="inlineStr">
        <is>
          <t>Resource Discovery Engine</t>
        </is>
      </c>
      <c r="D14" s="16" t="inlineStr">
        <is>
          <t>Enrichers</t>
        </is>
      </c>
      <c r="E14" s="16" t="inlineStr">
        <is>
          <t>S13</t>
        </is>
      </c>
      <c r="F14" s="16" t="inlineStr">
        <is>
          <t>Enrichers: EC2 (state, type, launch), EBS (attachment), EIP (association) incl. untagged discovery via describes</t>
        </is>
      </c>
      <c r="G14" s="3" t="inlineStr">
        <is>
          <t>Untagged EC2/EBS/EIP appear in inventory</t>
        </is>
      </c>
      <c r="H14" s="3" t="inlineStr">
        <is>
          <t>BE2</t>
        </is>
      </c>
      <c r="I14" s="3" t="n">
        <v>1.5</v>
      </c>
      <c r="J14" s="3" t="n">
        <v>2</v>
      </c>
      <c r="K14" s="3" t="inlineStr">
        <is>
          <t>Must</t>
        </is>
      </c>
      <c r="L14" s="3" t="inlineStr">
        <is>
          <t>S12</t>
        </is>
      </c>
      <c r="M14" s="31" t="inlineStr">
        <is>
          <t>Delivered — P1</t>
        </is>
      </c>
      <c r="N14" s="5" t="inlineStr">
        <is>
          <t>Spec 002 — EC2, EBS, EIP enrichers</t>
        </is>
      </c>
    </row>
    <row r="15" ht="28" customHeight="1">
      <c r="A15" s="5" t="inlineStr">
        <is>
          <t>R1</t>
        </is>
      </c>
      <c r="B15" s="5" t="inlineStr">
        <is>
          <t>E3</t>
        </is>
      </c>
      <c r="C15" s="17" t="inlineStr">
        <is>
          <t>Resource Discovery Engine</t>
        </is>
      </c>
      <c r="D15" s="17" t="inlineStr">
        <is>
          <t>Enrichers</t>
        </is>
      </c>
      <c r="E15" s="17" t="inlineStr">
        <is>
          <t>S14</t>
        </is>
      </c>
      <c r="F15" s="17" t="inlineStr">
        <is>
          <t>Enrichers: S3 (region, creation), RDS (engine, class), Lambda (runtime, last modified)</t>
        </is>
      </c>
      <c r="G15" s="5" t="inlineStr">
        <is>
          <t>Fields visible in resource detail</t>
        </is>
      </c>
      <c r="H15" s="5" t="inlineStr">
        <is>
          <t>BE2</t>
        </is>
      </c>
      <c r="I15" s="5" t="n">
        <v>1.5</v>
      </c>
      <c r="J15" s="5" t="n">
        <v>2</v>
      </c>
      <c r="K15" s="5" t="inlineStr">
        <is>
          <t>Must</t>
        </is>
      </c>
      <c r="L15" s="5" t="inlineStr">
        <is>
          <t>S12</t>
        </is>
      </c>
      <c r="M15" s="31" t="inlineStr">
        <is>
          <t>Delivered — P1</t>
        </is>
      </c>
      <c r="N15" s="5" t="inlineStr">
        <is>
          <t>Spec 002 — S3, RDS, Lambda enrichers</t>
        </is>
      </c>
    </row>
    <row r="16" ht="56" customHeight="1">
      <c r="A16" s="3" t="inlineStr">
        <is>
          <t>R1</t>
        </is>
      </c>
      <c r="B16" s="3" t="inlineStr">
        <is>
          <t>E3</t>
        </is>
      </c>
      <c r="C16" s="16" t="inlineStr">
        <is>
          <t>Resource Discovery Engine</t>
        </is>
      </c>
      <c r="D16" s="16" t="inlineStr">
        <is>
          <t>Orchestration</t>
        </is>
      </c>
      <c r="E16" s="16" t="inlineStr">
        <is>
          <t>S15</t>
        </is>
      </c>
      <c r="F16" s="16" t="inlineStr">
        <is>
          <t>Step Functions scan workflow: Map fan-out per account x region x service-group (global services once per account), retries/backoff, concurrency caps; EventBridge daily schedule + on-demand API</t>
        </is>
      </c>
      <c r="G16" s="3" t="inlineStr">
        <is>
          <t>Daily scan + UI-triggered scan complete across all registered regions</t>
        </is>
      </c>
      <c r="H16" s="3" t="inlineStr">
        <is>
          <t>BE1</t>
        </is>
      </c>
      <c r="I16" s="3" t="n">
        <v>2.5</v>
      </c>
      <c r="J16" s="3" t="n">
        <v>2</v>
      </c>
      <c r="K16" s="3" t="inlineStr">
        <is>
          <t>Must</t>
        </is>
      </c>
      <c r="L16" s="3" t="inlineStr">
        <is>
          <t>S12</t>
        </is>
      </c>
      <c r="M16" s="31" t="inlineStr">
        <is>
          <t>Delivered — P1</t>
        </is>
      </c>
      <c r="N16" s="5" t="inlineStr">
        <is>
          <t>Spec 002 — Step Functions, one unit per account × region</t>
        </is>
      </c>
    </row>
    <row r="17" ht="28" customHeight="1">
      <c r="A17" s="5" t="inlineStr">
        <is>
          <t>R1</t>
        </is>
      </c>
      <c r="B17" s="5" t="inlineStr">
        <is>
          <t>E3</t>
        </is>
      </c>
      <c r="C17" s="17" t="inlineStr">
        <is>
          <t>Resource Discovery Engine</t>
        </is>
      </c>
      <c r="D17" s="17" t="inlineStr">
        <is>
          <t>Persistence</t>
        </is>
      </c>
      <c r="E17" s="17" t="inlineStr">
        <is>
          <t>S16</t>
        </is>
      </c>
      <c r="F17" s="17" t="inlineStr">
        <is>
          <t>S3 raw snapshot writer + Postgres upsert with scan diffing (first_seen/last_seen/deleted_at; open/close findings hooks)</t>
        </is>
      </c>
      <c r="G17" s="5" t="inlineStr">
        <is>
          <t>Deleting a resource in AWS closes it in inventory next scan</t>
        </is>
      </c>
      <c r="H17" s="5" t="inlineStr">
        <is>
          <t>BE1</t>
        </is>
      </c>
      <c r="I17" s="5" t="n">
        <v>2.5</v>
      </c>
      <c r="J17" s="5" t="n">
        <v>2</v>
      </c>
      <c r="K17" s="5" t="inlineStr">
        <is>
          <t>Must</t>
        </is>
      </c>
      <c r="L17" s="5" t="inlineStr">
        <is>
          <t>S15</t>
        </is>
      </c>
      <c r="M17" s="31" t="inlineStr">
        <is>
          <t>Delivered — P1</t>
        </is>
      </c>
      <c r="N17" s="5" t="inlineStr">
        <is>
          <t>Spec 002 — S3 snapshots + Postgres upsert with diffing</t>
        </is>
      </c>
    </row>
    <row r="18">
      <c r="A18" s="3" t="inlineStr">
        <is>
          <t>R1</t>
        </is>
      </c>
      <c r="B18" s="3" t="inlineStr">
        <is>
          <t>E3</t>
        </is>
      </c>
      <c r="C18" s="16" t="inlineStr">
        <is>
          <t>Resource Discovery Engine</t>
        </is>
      </c>
      <c r="D18" s="16" t="inlineStr">
        <is>
          <t>History</t>
        </is>
      </c>
      <c r="E18" s="16" t="inlineStr">
        <is>
          <t>S17</t>
        </is>
      </c>
      <c r="F18" s="16" t="inlineStr">
        <is>
          <t>Scan history recording + API (trigger, duration, counts, status)</t>
        </is>
      </c>
      <c r="G18" s="3" t="inlineStr">
        <is>
          <t>History page data matches CloudWatch reality</t>
        </is>
      </c>
      <c r="H18" s="3" t="inlineStr">
        <is>
          <t>BE2</t>
        </is>
      </c>
      <c r="I18" s="3" t="n">
        <v>1</v>
      </c>
      <c r="J18" s="3" t="n">
        <v>3</v>
      </c>
      <c r="K18" s="3" t="inlineStr">
        <is>
          <t>Should</t>
        </is>
      </c>
      <c r="L18" s="3" t="inlineStr">
        <is>
          <t>S16</t>
        </is>
      </c>
      <c r="M18" s="31" t="inlineStr">
        <is>
          <t>Delivered — P2</t>
        </is>
      </c>
      <c r="N18" s="5" t="inlineStr">
        <is>
          <t>Spec 002/004 — scan history API and page</t>
        </is>
      </c>
    </row>
    <row r="19" ht="42" customHeight="1">
      <c r="A19" s="5" t="inlineStr">
        <is>
          <t>R1</t>
        </is>
      </c>
      <c r="B19" s="5" t="inlineStr">
        <is>
          <t>E4</t>
        </is>
      </c>
      <c r="C19" s="18" t="inlineStr">
        <is>
          <t>Tag Compliance &amp; Findings</t>
        </is>
      </c>
      <c r="D19" s="18" t="inlineStr">
        <is>
          <t>Rules</t>
        </is>
      </c>
      <c r="E19" s="18" t="inlineStr">
        <is>
          <t>S18</t>
        </is>
      </c>
      <c r="F19" s="18" t="inlineStr">
        <is>
          <t>Rules-as-data: tag_rules table (case-insensitive keys, required set, allowed values) + admin CRUD API, seeded with the 4 mandatory tags</t>
        </is>
      </c>
      <c r="G19" s="5" t="inlineStr">
        <is>
          <t>Rule change applies on next scan without deploy</t>
        </is>
      </c>
      <c r="H19" s="5" t="inlineStr">
        <is>
          <t>BE1</t>
        </is>
      </c>
      <c r="I19" s="5" t="n">
        <v>1.5</v>
      </c>
      <c r="J19" s="5" t="n">
        <v>2</v>
      </c>
      <c r="K19" s="5" t="inlineStr">
        <is>
          <t>Must</t>
        </is>
      </c>
      <c r="L19" s="5" t="inlineStr">
        <is>
          <t>S4</t>
        </is>
      </c>
      <c r="M19" s="31" t="inlineStr">
        <is>
          <t>Delivered — P1</t>
        </is>
      </c>
      <c r="N19" s="5" t="inlineStr">
        <is>
          <t>Spec 003 — rules as data, five seeded</t>
        </is>
      </c>
    </row>
    <row r="20" ht="56" customHeight="1">
      <c r="A20" s="3" t="inlineStr">
        <is>
          <t>R1</t>
        </is>
      </c>
      <c r="B20" s="3" t="inlineStr">
        <is>
          <t>E4</t>
        </is>
      </c>
      <c r="C20" s="19" t="inlineStr">
        <is>
          <t>Tag Compliance &amp; Findings</t>
        </is>
      </c>
      <c r="D20" s="19" t="inlineStr">
        <is>
          <t>SDA registry</t>
        </is>
      </c>
      <c r="E20" s="19" t="inlineStr">
        <is>
          <t>S18a</t>
        </is>
      </c>
      <c r="F20" s="19" t="inlineStr">
        <is>
          <t>SDA registry: register SDA (name, owner email, team, project_id/project_name tag values) via API + admin UI; resources attach to SDA at load time; unmatched -&gt; 'No SDA' bucket</t>
        </is>
      </c>
      <c r="G20" s="3" t="inlineStr">
        <is>
          <t>Tagged resource shows its SDA; compliance score groups by SDA</t>
        </is>
      </c>
      <c r="H20" s="3" t="inlineStr">
        <is>
          <t>BE2</t>
        </is>
      </c>
      <c r="I20" s="3" t="n">
        <v>1.5</v>
      </c>
      <c r="J20" s="3" t="n">
        <v>2</v>
      </c>
      <c r="K20" s="3" t="inlineStr">
        <is>
          <t>Must</t>
        </is>
      </c>
      <c r="L20" s="3" t="inlineStr">
        <is>
          <t>S16</t>
        </is>
      </c>
      <c r="M20" s="31" t="inlineStr">
        <is>
          <t>Delivered — P1</t>
        </is>
      </c>
      <c r="N20" s="5" t="inlineStr">
        <is>
          <t>Spec 003 — SDA registry</t>
        </is>
      </c>
    </row>
    <row r="21" ht="28" customHeight="1">
      <c r="A21" s="5" t="inlineStr">
        <is>
          <t>R1</t>
        </is>
      </c>
      <c r="B21" s="5" t="inlineStr">
        <is>
          <t>E4</t>
        </is>
      </c>
      <c r="C21" s="18" t="inlineStr">
        <is>
          <t>Tag Compliance &amp; Findings</t>
        </is>
      </c>
      <c r="D21" s="18" t="inlineStr">
        <is>
          <t>SDA registry UI</t>
        </is>
      </c>
      <c r="E21" s="18" t="inlineStr">
        <is>
          <t>S18b</t>
        </is>
      </c>
      <c r="F21" s="18" t="inlineStr">
        <is>
          <t>SDA admin page: CRUD + tag-value mapping editor + 'No SDA' triage list</t>
        </is>
      </c>
      <c r="G21" s="5" t="inlineStr">
        <is>
          <t>Registering an SDA reclassifies matching resources on next scan</t>
        </is>
      </c>
      <c r="H21" s="5" t="inlineStr">
        <is>
          <t>FE</t>
        </is>
      </c>
      <c r="I21" s="5" t="n">
        <v>1</v>
      </c>
      <c r="J21" s="5" t="n">
        <v>3</v>
      </c>
      <c r="K21" s="5" t="inlineStr">
        <is>
          <t>Must</t>
        </is>
      </c>
      <c r="L21" s="5" t="inlineStr">
        <is>
          <t>S18a</t>
        </is>
      </c>
      <c r="M21" s="31" t="inlineStr">
        <is>
          <t>Delivered — P2</t>
        </is>
      </c>
      <c r="N21" s="5" t="inlineStr">
        <is>
          <t>Spec 003/004 — SDA page and “No SDA” triage</t>
        </is>
      </c>
    </row>
    <row r="22" ht="42" customHeight="1">
      <c r="A22" s="3" t="inlineStr">
        <is>
          <t>R1</t>
        </is>
      </c>
      <c r="B22" s="3" t="inlineStr">
        <is>
          <t>E4</t>
        </is>
      </c>
      <c r="C22" s="19" t="inlineStr">
        <is>
          <t>Tag Compliance &amp; Findings</t>
        </is>
      </c>
      <c r="D22" s="19" t="inlineStr">
        <is>
          <t>Validation</t>
        </is>
      </c>
      <c r="E22" s="19" t="inlineStr">
        <is>
          <t>S19</t>
        </is>
      </c>
      <c r="F22" s="19" t="inlineStr">
        <is>
          <t>Validation worker: evaluate rules on parent resources, open/close/dedupe findings (missing, invalid, non-standard format)</t>
        </is>
      </c>
      <c r="G22" s="3" t="inlineStr">
        <is>
          <t>Finding auto-closes when tag fixed and re-scan runs</t>
        </is>
      </c>
      <c r="H22" s="3" t="inlineStr">
        <is>
          <t>BE1</t>
        </is>
      </c>
      <c r="I22" s="3" t="n">
        <v>2.5</v>
      </c>
      <c r="J22" s="3" t="n">
        <v>2</v>
      </c>
      <c r="K22" s="3" t="inlineStr">
        <is>
          <t>Must</t>
        </is>
      </c>
      <c r="L22" s="3" t="inlineStr">
        <is>
          <t>S16,S18</t>
        </is>
      </c>
      <c r="M22" s="31" t="inlineStr">
        <is>
          <t>Delivered — P1</t>
        </is>
      </c>
      <c r="N22" s="5" t="inlineStr">
        <is>
          <t>Spec 003 — validation worker, findings lifecycle</t>
        </is>
      </c>
    </row>
    <row r="23" ht="28" customHeight="1">
      <c r="A23" s="5" t="inlineStr">
        <is>
          <t>R1</t>
        </is>
      </c>
      <c r="B23" s="5" t="inlineStr">
        <is>
          <t>E4</t>
        </is>
      </c>
      <c r="C23" s="18" t="inlineStr">
        <is>
          <t>Tag Compliance &amp; Findings</t>
        </is>
      </c>
      <c r="D23" s="18" t="inlineStr">
        <is>
          <t>Scoring</t>
        </is>
      </c>
      <c r="E23" s="18" t="inlineStr">
        <is>
          <t>S20</t>
        </is>
      </c>
      <c r="F23" s="18" t="inlineStr">
        <is>
          <t>Compliance score per account/project + API (compliant parents / total parents)</t>
        </is>
      </c>
      <c r="G23" s="5" t="inlineStr">
        <is>
          <t>Score matches hand-count on test account</t>
        </is>
      </c>
      <c r="H23" s="5" t="inlineStr">
        <is>
          <t>BE2</t>
        </is>
      </c>
      <c r="I23" s="5" t="n">
        <v>1</v>
      </c>
      <c r="J23" s="5" t="n">
        <v>3</v>
      </c>
      <c r="K23" s="5" t="inlineStr">
        <is>
          <t>Must</t>
        </is>
      </c>
      <c r="L23" s="5" t="inlineStr">
        <is>
          <t>S19</t>
        </is>
      </c>
      <c r="M23" s="31" t="inlineStr">
        <is>
          <t>Delivered — P1</t>
        </is>
      </c>
      <c r="N23" s="5" t="inlineStr">
        <is>
          <t>Spec 003 — compliance score per account and SDA</t>
        </is>
      </c>
    </row>
    <row r="24" ht="42" customHeight="1">
      <c r="A24" s="3" t="inlineStr">
        <is>
          <t>R1</t>
        </is>
      </c>
      <c r="B24" s="3" t="inlineStr">
        <is>
          <t>E5</t>
        </is>
      </c>
      <c r="C24" s="20" t="inlineStr">
        <is>
          <t>Ownership Attribution</t>
        </is>
      </c>
      <c r="D24" s="20" t="inlineStr">
        <is>
          <t>CloudTrail</t>
        </is>
      </c>
      <c r="E24" s="20" t="inlineStr">
        <is>
          <t>S21</t>
        </is>
      </c>
      <c r="F24" s="20" t="inlineStr">
        <is>
          <t>Ownership worker: 90-day LookupEvents for creator on Create*/Run* events; human principal detection (IAM user / SSO)</t>
        </is>
      </c>
      <c r="G24" s="3" t="inlineStr">
        <is>
          <t>Creator found for console-created test resources</t>
        </is>
      </c>
      <c r="H24" s="3" t="inlineStr">
        <is>
          <t>BE2</t>
        </is>
      </c>
      <c r="I24" s="3" t="n">
        <v>2</v>
      </c>
      <c r="J24" s="3" t="n">
        <v>2</v>
      </c>
      <c r="K24" s="3" t="inlineStr">
        <is>
          <t>Must</t>
        </is>
      </c>
      <c r="L24" s="3" t="inlineStr">
        <is>
          <t>S16</t>
        </is>
      </c>
      <c r="M24" s="31" t="inlineStr">
        <is>
          <t>Delivered — P1</t>
        </is>
      </c>
      <c r="N24" s="5" t="inlineStr">
        <is>
          <t>Spec 003 — CloudTrail creator attribution; sweeps fixed live (T046)</t>
        </is>
      </c>
    </row>
    <row r="25" ht="28" customHeight="1">
      <c r="A25" s="5" t="inlineStr">
        <is>
          <t>R1</t>
        </is>
      </c>
      <c r="B25" s="5" t="inlineStr">
        <is>
          <t>E5</t>
        </is>
      </c>
      <c r="C25" s="21" t="inlineStr">
        <is>
          <t>Ownership Attribution</t>
        </is>
      </c>
      <c r="D25" s="21" t="inlineStr">
        <is>
          <t>Fallback</t>
        </is>
      </c>
      <c r="E25" s="21" t="inlineStr">
        <is>
          <t>S22</t>
        </is>
      </c>
      <c r="F25" s="21" t="inlineStr">
        <is>
          <t>Frequent-modifier fallback (&gt;=3 human write events) + confidence level + evidence stored; unattributed queue</t>
        </is>
      </c>
      <c r="G25" s="5" t="inlineStr">
        <is>
          <t>IaC-created resource falls through to modifier or queue</t>
        </is>
      </c>
      <c r="H25" s="5" t="inlineStr">
        <is>
          <t>BE2</t>
        </is>
      </c>
      <c r="I25" s="5" t="n">
        <v>1.5</v>
      </c>
      <c r="J25" s="5" t="n">
        <v>3</v>
      </c>
      <c r="K25" s="5" t="inlineStr">
        <is>
          <t>Must</t>
        </is>
      </c>
      <c r="L25" s="5" t="inlineStr">
        <is>
          <t>S21</t>
        </is>
      </c>
      <c r="M25" s="31" t="inlineStr">
        <is>
          <t>Delivered — P2</t>
        </is>
      </c>
      <c r="N25" s="5" t="inlineStr">
        <is>
          <t>Spec 003 — fallback chain</t>
        </is>
      </c>
    </row>
    <row r="26" ht="42" customHeight="1">
      <c r="A26" s="3" t="inlineStr">
        <is>
          <t>R1</t>
        </is>
      </c>
      <c r="B26" s="3" t="inlineStr">
        <is>
          <t>E5</t>
        </is>
      </c>
      <c r="C26" s="20" t="inlineStr">
        <is>
          <t>Ownership Attribution</t>
        </is>
      </c>
      <c r="D26" s="20" t="inlineStr">
        <is>
          <t>Email resolution</t>
        </is>
      </c>
      <c r="E26" s="20" t="inlineStr">
        <is>
          <t>S23a</t>
        </is>
      </c>
      <c r="F26" s="20" t="inlineStr">
        <is>
          <t>Owner email resolution chain: owner tag if email -&gt; configurable pattern on CloudTrail user_id ({user_id}@domain) -&gt; manual override table; bounce flagging</t>
        </is>
      </c>
      <c r="G26" s="3" t="inlineStr">
        <is>
          <t>Pattern change is config only; bounced address flags the owner record</t>
        </is>
      </c>
      <c r="H26" s="3" t="inlineStr">
        <is>
          <t>BE2</t>
        </is>
      </c>
      <c r="I26" s="3" t="n">
        <v>1</v>
      </c>
      <c r="J26" s="3" t="n">
        <v>3</v>
      </c>
      <c r="K26" s="3" t="inlineStr">
        <is>
          <t>Must</t>
        </is>
      </c>
      <c r="L26" s="3" t="inlineStr">
        <is>
          <t>S21</t>
        </is>
      </c>
      <c r="M26" s="31" t="inlineStr">
        <is>
          <t>Delivered — P2</t>
        </is>
      </c>
      <c r="N26" s="5" t="inlineStr">
        <is>
          <t>Spec 003 — owner email resolution chain + overrides</t>
        </is>
      </c>
    </row>
    <row r="27" ht="28" customHeight="1">
      <c r="A27" s="5" t="inlineStr">
        <is>
          <t>R2</t>
        </is>
      </c>
      <c r="B27" s="5" t="inlineStr">
        <is>
          <t>E5</t>
        </is>
      </c>
      <c r="C27" s="21" t="inlineStr">
        <is>
          <t>Ownership Attribution</t>
        </is>
      </c>
      <c r="D27" s="21" t="inlineStr">
        <is>
          <t>Manual</t>
        </is>
      </c>
      <c r="E27" s="21" t="inlineStr">
        <is>
          <t>S23</t>
        </is>
      </c>
      <c r="F27" s="21" t="inlineStr">
        <is>
          <t>Manual owner assignment API + UI on resource detail; owner propagates to notifications</t>
        </is>
      </c>
      <c r="G27" s="5" t="inlineStr">
        <is>
          <t>Assigned owner receives the next notification</t>
        </is>
      </c>
      <c r="H27" s="5" t="inlineStr">
        <is>
          <t>FE</t>
        </is>
      </c>
      <c r="I27" s="5" t="n">
        <v>1</v>
      </c>
      <c r="J27" s="5" t="n">
        <v>4</v>
      </c>
      <c r="K27" s="5" t="inlineStr">
        <is>
          <t>Should</t>
        </is>
      </c>
      <c r="L27" s="5" t="inlineStr">
        <is>
          <t>S22</t>
        </is>
      </c>
      <c r="M27" s="32" t="inlineStr">
        <is>
          <t>Out of scope</t>
        </is>
      </c>
      <c r="N27" s="5" t="inlineStr">
        <is>
          <t>Per-resource manual assignment not built; identity overrides cover email resolution</t>
        </is>
      </c>
    </row>
    <row r="28" ht="28" customHeight="1">
      <c r="A28" s="3" t="inlineStr">
        <is>
          <t>R1</t>
        </is>
      </c>
      <c r="B28" s="3" t="inlineStr">
        <is>
          <t>E6</t>
        </is>
      </c>
      <c r="C28" s="3" t="inlineStr">
        <is>
          <t>Notification Engine</t>
        </is>
      </c>
      <c r="D28" s="3" t="inlineStr">
        <is>
          <t>Email</t>
        </is>
      </c>
      <c r="E28" s="3" t="inlineStr">
        <is>
          <t>S24</t>
        </is>
      </c>
      <c r="F28" s="3" t="inlineStr">
        <is>
          <t>SES domain/identity setup + templated emails (finding summary, deep link, owner name)</t>
        </is>
      </c>
      <c r="G28" s="3" t="inlineStr">
        <is>
          <t>Email lands in inbox with working link</t>
        </is>
      </c>
      <c r="H28" s="3" t="inlineStr">
        <is>
          <t>DevOps</t>
        </is>
      </c>
      <c r="I28" s="3" t="n">
        <v>1.5</v>
      </c>
      <c r="J28" s="3" t="n">
        <v>2</v>
      </c>
      <c r="K28" s="3" t="inlineStr">
        <is>
          <t>Must</t>
        </is>
      </c>
      <c r="L28" s="3" t="inlineStr">
        <is>
          <t>S19</t>
        </is>
      </c>
      <c r="M28" s="31" t="inlineStr">
        <is>
          <t>Delivered — P1</t>
        </is>
      </c>
      <c r="N28" s="5" t="inlineStr">
        <is>
          <t>Spec 005 — SES templated email (needs a verified sender to send)</t>
        </is>
      </c>
    </row>
    <row r="29" ht="42" customHeight="1">
      <c r="A29" s="5" t="inlineStr">
        <is>
          <t>R1</t>
        </is>
      </c>
      <c r="B29" s="5" t="inlineStr">
        <is>
          <t>E6</t>
        </is>
      </c>
      <c r="C29" s="5" t="inlineStr">
        <is>
          <t>Notification Engine</t>
        </is>
      </c>
      <c r="D29" s="5" t="inlineStr">
        <is>
          <t>Cadence</t>
        </is>
      </c>
      <c r="E29" s="5" t="inlineStr">
        <is>
          <t>S25</t>
        </is>
      </c>
      <c r="F29" s="5" t="inlineStr">
        <is>
          <t>Cadence engine: day 0/2/4 sends per finding, stop on close/acknowledge, mark escalated after 4th interval (manual handling in R1)</t>
        </is>
      </c>
      <c r="G29" s="5" t="inlineStr">
        <is>
          <t>Timeline verified with clock-forwarded tests</t>
        </is>
      </c>
      <c r="H29" s="5" t="inlineStr">
        <is>
          <t>BE1</t>
        </is>
      </c>
      <c r="I29" s="5" t="n">
        <v>2</v>
      </c>
      <c r="J29" s="5" t="n">
        <v>3</v>
      </c>
      <c r="K29" s="5" t="inlineStr">
        <is>
          <t>Must</t>
        </is>
      </c>
      <c r="L29" s="5" t="inlineStr">
        <is>
          <t>S24</t>
        </is>
      </c>
      <c r="M29" s="31" t="inlineStr">
        <is>
          <t>Delivered — P1</t>
        </is>
      </c>
      <c r="N29" s="5" t="inlineStr">
        <is>
          <t>Spec 005 — day 0/2/4 cadence + day-4 escalation flag</t>
        </is>
      </c>
    </row>
    <row r="30">
      <c r="A30" s="3" t="inlineStr">
        <is>
          <t>R2</t>
        </is>
      </c>
      <c r="B30" s="3" t="inlineStr">
        <is>
          <t>E6</t>
        </is>
      </c>
      <c r="C30" s="3" t="inlineStr">
        <is>
          <t>Notification Engine</t>
        </is>
      </c>
      <c r="D30" s="3" t="inlineStr">
        <is>
          <t>Bell</t>
        </is>
      </c>
      <c r="E30" s="3" t="inlineStr">
        <is>
          <t>S26</t>
        </is>
      </c>
      <c r="F30" s="3" t="inlineStr">
        <is>
          <t>In-app notifications API: per-user feed, unread count, mark-read</t>
        </is>
      </c>
      <c r="G30" s="3" t="inlineStr">
        <is>
          <t>Bell badge updates after scan opens findings</t>
        </is>
      </c>
      <c r="H30" s="3" t="inlineStr">
        <is>
          <t>BE2</t>
        </is>
      </c>
      <c r="I30" s="3" t="n">
        <v>1</v>
      </c>
      <c r="J30" s="3" t="n">
        <v>4</v>
      </c>
      <c r="K30" s="3" t="inlineStr">
        <is>
          <t>Should</t>
        </is>
      </c>
      <c r="L30" s="3" t="inlineStr">
        <is>
          <t>S19</t>
        </is>
      </c>
      <c r="M30" s="32" t="inlineStr">
        <is>
          <t>Out of scope</t>
        </is>
      </c>
      <c r="N30" s="5" t="inlineStr">
        <is>
          <t>In-app notifications cut</t>
        </is>
      </c>
    </row>
    <row r="31" ht="28" customHeight="1">
      <c r="A31" s="5" t="inlineStr">
        <is>
          <t>R1</t>
        </is>
      </c>
      <c r="B31" s="5" t="inlineStr">
        <is>
          <t>E7</t>
        </is>
      </c>
      <c r="C31" s="22" t="inlineStr">
        <is>
          <t>Governance Dashboard (Angular)</t>
        </is>
      </c>
      <c r="D31" s="22" t="inlineStr">
        <is>
          <t>Scaffold</t>
        </is>
      </c>
      <c r="E31" s="22" t="inlineStr">
        <is>
          <t>S27</t>
        </is>
      </c>
      <c r="F31" s="22" t="inlineStr">
        <is>
          <t>Angular 18 scaffold: Material theme, layout shell, routing, Cognito PKCE auth + JWT interceptor, role guards</t>
        </is>
      </c>
      <c r="G31" s="5" t="inlineStr">
        <is>
          <t>Login/logout works; viewer cannot see admin pages</t>
        </is>
      </c>
      <c r="H31" s="5" t="inlineStr">
        <is>
          <t>FE</t>
        </is>
      </c>
      <c r="I31" s="5" t="n">
        <v>2</v>
      </c>
      <c r="J31" s="5" t="n">
        <v>1</v>
      </c>
      <c r="K31" s="5" t="inlineStr">
        <is>
          <t>Must</t>
        </is>
      </c>
      <c r="L31" s="5" t="inlineStr">
        <is>
          <t>S5</t>
        </is>
      </c>
      <c r="M31" s="31" t="inlineStr">
        <is>
          <t>Delivered — P1</t>
        </is>
      </c>
      <c r="N31" s="5" t="inlineStr">
        <is>
          <t>Spec 004 — Angular 18 shell, Cognito PKCE</t>
        </is>
      </c>
    </row>
    <row r="32" ht="28" customHeight="1">
      <c r="A32" s="3" t="inlineStr">
        <is>
          <t>R1</t>
        </is>
      </c>
      <c r="B32" s="3" t="inlineStr">
        <is>
          <t>E7</t>
        </is>
      </c>
      <c r="C32" s="23" t="inlineStr">
        <is>
          <t>Governance Dashboard (Angular)</t>
        </is>
      </c>
      <c r="D32" s="23" t="inlineStr">
        <is>
          <t>Overview</t>
        </is>
      </c>
      <c r="E32" s="23" t="inlineStr">
        <is>
          <t>S28</t>
        </is>
      </c>
      <c r="F32" s="23" t="inlineStr">
        <is>
          <t>Compliance overview: score cards, findings by type/severity charts, per-account table</t>
        </is>
      </c>
      <c r="G32" s="3" t="inlineStr">
        <is>
          <t>Numbers match API; loads &lt;2s on 5k resources</t>
        </is>
      </c>
      <c r="H32" s="3" t="inlineStr">
        <is>
          <t>FE</t>
        </is>
      </c>
      <c r="I32" s="3" t="n">
        <v>2</v>
      </c>
      <c r="J32" s="3" t="n">
        <v>2</v>
      </c>
      <c r="K32" s="3" t="inlineStr">
        <is>
          <t>Must</t>
        </is>
      </c>
      <c r="L32" s="3" t="inlineStr">
        <is>
          <t>S20,S27</t>
        </is>
      </c>
      <c r="M32" s="31" t="inlineStr">
        <is>
          <t>Delivered — P1</t>
        </is>
      </c>
      <c r="N32" s="5" t="inlineStr">
        <is>
          <t>Spec 004 — compliance overview (+ AI digest card, spec 006)</t>
        </is>
      </c>
    </row>
    <row r="33" ht="42" customHeight="1">
      <c r="A33" s="5" t="inlineStr">
        <is>
          <t>R1</t>
        </is>
      </c>
      <c r="B33" s="5" t="inlineStr">
        <is>
          <t>E7</t>
        </is>
      </c>
      <c r="C33" s="22" t="inlineStr">
        <is>
          <t>Governance Dashboard (Angular)</t>
        </is>
      </c>
      <c r="D33" s="22" t="inlineStr">
        <is>
          <t>Inventory</t>
        </is>
      </c>
      <c r="E33" s="22" t="inlineStr">
        <is>
          <t>S29</t>
        </is>
      </c>
      <c r="F33" s="22" t="inlineStr">
        <is>
          <t>Inventory: server-side paged/filtered table (account, service, region, tag status), resource detail panel with tags/owner/findings</t>
        </is>
      </c>
      <c r="G33" s="5" t="inlineStr">
        <is>
          <t>Filter by 'missing owner tag' returns correct set</t>
        </is>
      </c>
      <c r="H33" s="5" t="inlineStr">
        <is>
          <t>FE</t>
        </is>
      </c>
      <c r="I33" s="5" t="n">
        <v>3</v>
      </c>
      <c r="J33" s="5" t="n">
        <v>2</v>
      </c>
      <c r="K33" s="5" t="inlineStr">
        <is>
          <t>Must</t>
        </is>
      </c>
      <c r="L33" s="5" t="inlineStr">
        <is>
          <t>S27</t>
        </is>
      </c>
      <c r="M33" s="31" t="inlineStr">
        <is>
          <t>Delivered — P1</t>
        </is>
      </c>
      <c r="N33" s="5" t="inlineStr">
        <is>
          <t>Spec 004 — inventory explorer, server-side paging</t>
        </is>
      </c>
    </row>
    <row r="34" ht="28" customHeight="1">
      <c r="A34" s="3" t="inlineStr">
        <is>
          <t>R1</t>
        </is>
      </c>
      <c r="B34" s="3" t="inlineStr">
        <is>
          <t>E7</t>
        </is>
      </c>
      <c r="C34" s="23" t="inlineStr">
        <is>
          <t>Governance Dashboard (Angular)</t>
        </is>
      </c>
      <c r="D34" s="23" t="inlineStr">
        <is>
          <t>Findings</t>
        </is>
      </c>
      <c r="E34" s="23" t="inlineStr">
        <is>
          <t>S30</t>
        </is>
      </c>
      <c r="F34" s="23" t="inlineStr">
        <is>
          <t>Findings page: list, filter, acknowledge, view notification timeline</t>
        </is>
      </c>
      <c r="G34" s="3" t="inlineStr">
        <is>
          <t>Acknowledge stops further emails</t>
        </is>
      </c>
      <c r="H34" s="3" t="inlineStr">
        <is>
          <t>FE</t>
        </is>
      </c>
      <c r="I34" s="3" t="n">
        <v>2</v>
      </c>
      <c r="J34" s="3" t="n">
        <v>3</v>
      </c>
      <c r="K34" s="3" t="inlineStr">
        <is>
          <t>Must</t>
        </is>
      </c>
      <c r="L34" s="3" t="inlineStr">
        <is>
          <t>S29</t>
        </is>
      </c>
      <c r="M34" s="31" t="inlineStr">
        <is>
          <t>Delivered — P1</t>
        </is>
      </c>
      <c r="N34" s="5" t="inlineStr">
        <is>
          <t>Spec 004 — findings workbench (+ suggestions, budget overruns)</t>
        </is>
      </c>
    </row>
    <row r="35" ht="28" customHeight="1">
      <c r="A35" s="5" t="inlineStr">
        <is>
          <t>R1</t>
        </is>
      </c>
      <c r="B35" s="5" t="inlineStr">
        <is>
          <t>E7</t>
        </is>
      </c>
      <c r="C35" s="22" t="inlineStr">
        <is>
          <t>Governance Dashboard (Angular)</t>
        </is>
      </c>
      <c r="D35" s="22" t="inlineStr">
        <is>
          <t>History</t>
        </is>
      </c>
      <c r="E35" s="22" t="inlineStr">
        <is>
          <t>S31</t>
        </is>
      </c>
      <c r="F35" s="22" t="inlineStr">
        <is>
          <t>Scan history page (last run, duration, deltas) + on-demand scan button</t>
        </is>
      </c>
      <c r="G35" s="5" t="inlineStr">
        <is>
          <t>Button triggers scan; status updates live</t>
        </is>
      </c>
      <c r="H35" s="5" t="inlineStr">
        <is>
          <t>FE</t>
        </is>
      </c>
      <c r="I35" s="5" t="n">
        <v>1</v>
      </c>
      <c r="J35" s="5" t="n">
        <v>3</v>
      </c>
      <c r="K35" s="5" t="inlineStr">
        <is>
          <t>Should</t>
        </is>
      </c>
      <c r="L35" s="5" t="inlineStr">
        <is>
          <t>S17</t>
        </is>
      </c>
      <c r="M35" s="31" t="inlineStr">
        <is>
          <t>Delivered — P2</t>
        </is>
      </c>
      <c r="N35" s="5" t="inlineStr">
        <is>
          <t>Spec 004 — scan operations page</t>
        </is>
      </c>
    </row>
    <row r="36" ht="28" customHeight="1">
      <c r="A36" s="3" t="inlineStr">
        <is>
          <t>R2</t>
        </is>
      </c>
      <c r="B36" s="3" t="inlineStr">
        <is>
          <t>E7</t>
        </is>
      </c>
      <c r="C36" s="23" t="inlineStr">
        <is>
          <t>Governance Dashboard (Angular)</t>
        </is>
      </c>
      <c r="D36" s="23" t="inlineStr">
        <is>
          <t>Bell UI</t>
        </is>
      </c>
      <c r="E36" s="23" t="inlineStr">
        <is>
          <t>S32</t>
        </is>
      </c>
      <c r="F36" s="23" t="inlineStr">
        <is>
          <t>Notification bell + feed panel</t>
        </is>
      </c>
      <c r="G36" s="3" t="inlineStr">
        <is>
          <t>Unread count correct across sessions</t>
        </is>
      </c>
      <c r="H36" s="3" t="inlineStr">
        <is>
          <t>FE</t>
        </is>
      </c>
      <c r="I36" s="3" t="n">
        <v>1</v>
      </c>
      <c r="J36" s="3" t="n">
        <v>4</v>
      </c>
      <c r="K36" s="3" t="inlineStr">
        <is>
          <t>Should</t>
        </is>
      </c>
      <c r="L36" s="3" t="inlineStr">
        <is>
          <t>S26</t>
        </is>
      </c>
      <c r="M36" s="32" t="inlineStr">
        <is>
          <t>Out of scope</t>
        </is>
      </c>
      <c r="N36" s="5" t="inlineStr">
        <is>
          <t>Notification bell cut</t>
        </is>
      </c>
    </row>
    <row r="37" ht="28" customHeight="1">
      <c r="A37" s="5" t="inlineStr">
        <is>
          <t>R1</t>
        </is>
      </c>
      <c r="B37" s="5" t="inlineStr">
        <is>
          <t>E7</t>
        </is>
      </c>
      <c r="C37" s="22" t="inlineStr">
        <is>
          <t>Governance Dashboard (Angular)</t>
        </is>
      </c>
      <c r="D37" s="22" t="inlineStr">
        <is>
          <t>Hardening</t>
        </is>
      </c>
      <c r="E37" s="22" t="inlineStr">
        <is>
          <t>S33</t>
        </is>
      </c>
      <c r="F37" s="22" t="inlineStr">
        <is>
          <t>E2E smoke tests (Playwright), empty/error states, deploy polish</t>
        </is>
      </c>
      <c r="G37" s="5" t="inlineStr">
        <is>
          <t>CI runs e2e against dev after deploy</t>
        </is>
      </c>
      <c r="H37" s="5" t="inlineStr">
        <is>
          <t>FE</t>
        </is>
      </c>
      <c r="I37" s="5" t="n">
        <v>1.5</v>
      </c>
      <c r="J37" s="5" t="n">
        <v>3</v>
      </c>
      <c r="K37" s="5" t="inlineStr">
        <is>
          <t>Should</t>
        </is>
      </c>
      <c r="L37" s="5" t="inlineStr">
        <is>
          <t>S30</t>
        </is>
      </c>
      <c r="M37" s="31" t="inlineStr">
        <is>
          <t>Delivered — P2</t>
        </is>
      </c>
      <c r="N37" s="5" t="inlineStr">
        <is>
          <t>Spec 004 — Playwright e2e, now run in CI</t>
        </is>
      </c>
    </row>
    <row r="38" ht="28" customHeight="1">
      <c r="A38" s="3" t="inlineStr">
        <is>
          <t>R2</t>
        </is>
      </c>
      <c r="B38" s="3" t="inlineStr">
        <is>
          <t>E8</t>
        </is>
      </c>
      <c r="C38" s="3" t="inlineStr">
        <is>
          <t>Remediation Engine</t>
        </is>
      </c>
      <c r="D38" s="3" t="inlineStr">
        <is>
          <t>Policy</t>
        </is>
      </c>
      <c r="E38" s="3" t="inlineStr">
        <is>
          <t>S34</t>
        </is>
      </c>
      <c r="F38" s="3" t="inlineStr">
        <is>
          <t>Policy evaluation: map finding class -&gt; eligible action, auto vs approval-required rules-as-data</t>
        </is>
      </c>
      <c r="G38" s="3" t="inlineStr">
        <is>
          <t>Dry-run report lists intended actions per account</t>
        </is>
      </c>
      <c r="H38" s="3" t="inlineStr">
        <is>
          <t>BE1</t>
        </is>
      </c>
      <c r="I38" s="3" t="n">
        <v>3</v>
      </c>
      <c r="J38" s="3" t="n">
        <v>4</v>
      </c>
      <c r="K38" s="3" t="inlineStr">
        <is>
          <t>Must</t>
        </is>
      </c>
      <c r="L38" s="3" t="n"/>
      <c r="M38" s="32" t="inlineStr">
        <is>
          <t>Out of scope</t>
        </is>
      </c>
      <c r="N38" s="5" t="inlineStr">
        <is>
          <t>Remediation engine out of scope — no write role exists</t>
        </is>
      </c>
    </row>
    <row r="39" ht="28" customHeight="1">
      <c r="A39" s="5" t="inlineStr">
        <is>
          <t>R2</t>
        </is>
      </c>
      <c r="B39" s="5" t="inlineStr">
        <is>
          <t>E8</t>
        </is>
      </c>
      <c r="C39" s="5" t="inlineStr">
        <is>
          <t>Remediation Engine</t>
        </is>
      </c>
      <c r="D39" s="5" t="inlineStr">
        <is>
          <t>Approvals</t>
        </is>
      </c>
      <c r="E39" s="5" t="inlineStr">
        <is>
          <t>S35</t>
        </is>
      </c>
      <c r="F39" s="5" t="inlineStr">
        <is>
          <t>Approval workflow: queue, approve/reject API + UI, admin-only, batch approve</t>
        </is>
      </c>
      <c r="G39" s="5" t="inlineStr">
        <is>
          <t>Non-admin cannot approve; audit row per decision</t>
        </is>
      </c>
      <c r="H39" s="5" t="inlineStr">
        <is>
          <t>FE</t>
        </is>
      </c>
      <c r="I39" s="5" t="n">
        <v>3</v>
      </c>
      <c r="J39" s="5" t="n">
        <v>5</v>
      </c>
      <c r="K39" s="5" t="inlineStr">
        <is>
          <t>Must</t>
        </is>
      </c>
      <c r="L39" s="5" t="inlineStr">
        <is>
          <t>S34</t>
        </is>
      </c>
      <c r="M39" s="32" t="inlineStr">
        <is>
          <t>Out of scope</t>
        </is>
      </c>
      <c r="N39" s="5" t="inlineStr">
        <is>
          <t>Remediation engine out of scope</t>
        </is>
      </c>
    </row>
    <row r="40" ht="42" customHeight="1">
      <c r="A40" s="3" t="inlineStr">
        <is>
          <t>R2</t>
        </is>
      </c>
      <c r="B40" s="3" t="inlineStr">
        <is>
          <t>E8</t>
        </is>
      </c>
      <c r="C40" s="3" t="inlineStr">
        <is>
          <t>Remediation Engine</t>
        </is>
      </c>
      <c r="D40" s="3" t="inlineStr">
        <is>
          <t>Actions</t>
        </is>
      </c>
      <c r="E40" s="3" t="inlineStr">
        <is>
          <t>S36</t>
        </is>
      </c>
      <c r="F40" s="3" t="inlineStr">
        <is>
          <t>Remediation actions via CloudPulseRemediatorRole: apply missing tags, correct invalid values (EC2, S3, RDS, Lambda, EBS)</t>
        </is>
      </c>
      <c r="G40" s="3" t="inlineStr">
        <is>
          <t>Tags applied in spoke; before/after in audit log</t>
        </is>
      </c>
      <c r="H40" s="3" t="inlineStr">
        <is>
          <t>BE2</t>
        </is>
      </c>
      <c r="I40" s="3" t="n">
        <v>3</v>
      </c>
      <c r="J40" s="3" t="n">
        <v>5</v>
      </c>
      <c r="K40" s="3" t="inlineStr">
        <is>
          <t>Must</t>
        </is>
      </c>
      <c r="L40" s="3" t="inlineStr">
        <is>
          <t>S34</t>
        </is>
      </c>
      <c r="M40" s="32" t="inlineStr">
        <is>
          <t>Out of scope</t>
        </is>
      </c>
      <c r="N40" s="5" t="inlineStr">
        <is>
          <t>Remediation engine out of scope</t>
        </is>
      </c>
    </row>
    <row r="41" ht="28" customHeight="1">
      <c r="A41" s="5" t="inlineStr">
        <is>
          <t>R2</t>
        </is>
      </c>
      <c r="B41" s="5" t="inlineStr">
        <is>
          <t>E8</t>
        </is>
      </c>
      <c r="C41" s="5" t="inlineStr">
        <is>
          <t>Remediation Engine</t>
        </is>
      </c>
      <c r="D41" s="5" t="inlineStr">
        <is>
          <t>Safety</t>
        </is>
      </c>
      <c r="E41" s="5" t="inlineStr">
        <is>
          <t>S37</t>
        </is>
      </c>
      <c r="F41" s="5" t="inlineStr">
        <is>
          <t>Dry-run default, per-account opt-in, rollback data (previous tag values), failure retry + DLQ</t>
        </is>
      </c>
      <c r="G41" s="5" t="inlineStr">
        <is>
          <t>Kill-switch disables all remediation in &lt;1 min</t>
        </is>
      </c>
      <c r="H41" s="5" t="inlineStr">
        <is>
          <t>BE1</t>
        </is>
      </c>
      <c r="I41" s="5" t="n">
        <v>2</v>
      </c>
      <c r="J41" s="5" t="n">
        <v>6</v>
      </c>
      <c r="K41" s="5" t="inlineStr">
        <is>
          <t>Must</t>
        </is>
      </c>
      <c r="L41" s="5" t="inlineStr">
        <is>
          <t>S36</t>
        </is>
      </c>
      <c r="M41" s="32" t="inlineStr">
        <is>
          <t>Out of scope</t>
        </is>
      </c>
      <c r="N41" s="5" t="inlineStr">
        <is>
          <t>Remediation engine out of scope</t>
        </is>
      </c>
    </row>
    <row r="42" ht="28" customHeight="1">
      <c r="A42" s="3" t="inlineStr">
        <is>
          <t>R2</t>
        </is>
      </c>
      <c r="B42" s="3" t="inlineStr">
        <is>
          <t>E8</t>
        </is>
      </c>
      <c r="C42" s="3" t="inlineStr">
        <is>
          <t>Remediation Engine</t>
        </is>
      </c>
      <c r="D42" s="3" t="inlineStr">
        <is>
          <t>Escalation</t>
        </is>
      </c>
      <c r="E42" s="3" t="inlineStr">
        <is>
          <t>S38</t>
        </is>
      </c>
      <c r="F42" s="3" t="inlineStr">
        <is>
          <t>Escalation automation: unresolved after 4th interval -&gt; escalate to project owner + report entry</t>
        </is>
      </c>
      <c r="G42" s="3" t="inlineStr">
        <is>
          <t>Escalation email cites full notification history</t>
        </is>
      </c>
      <c r="H42" s="3" t="inlineStr">
        <is>
          <t>BE2</t>
        </is>
      </c>
      <c r="I42" s="3" t="n">
        <v>2</v>
      </c>
      <c r="J42" s="3" t="n">
        <v>6</v>
      </c>
      <c r="K42" s="3" t="inlineStr">
        <is>
          <t>Should</t>
        </is>
      </c>
      <c r="L42" s="3" t="inlineStr">
        <is>
          <t>S25</t>
        </is>
      </c>
      <c r="M42" s="33" t="inlineStr">
        <is>
          <t>Partly delivered</t>
        </is>
      </c>
      <c r="N42" s="5" t="inlineStr">
        <is>
          <t>Day-4 escalation flag built (spec 005); no escalation email</t>
        </is>
      </c>
    </row>
    <row r="43" ht="28" customHeight="1">
      <c r="A43" s="5" t="inlineStr">
        <is>
          <t>R2</t>
        </is>
      </c>
      <c r="B43" s="5" t="inlineStr">
        <is>
          <t>E9</t>
        </is>
      </c>
      <c r="C43" s="24" t="inlineStr">
        <is>
          <t>Cost Governance</t>
        </is>
      </c>
      <c r="D43" s="24" t="inlineStr">
        <is>
          <t>Spend</t>
        </is>
      </c>
      <c r="E43" s="24" t="inlineStr">
        <is>
          <t>S39</t>
        </is>
      </c>
      <c r="F43" s="24" t="inlineStr">
        <is>
          <t>Cost Explorer integration: daily spend by project tag/account/service into Postgres (24h granularity)</t>
        </is>
      </c>
      <c r="G43" s="5" t="inlineStr">
        <is>
          <t>Spend matches CE console +/-1%</t>
        </is>
      </c>
      <c r="H43" s="5" t="inlineStr">
        <is>
          <t>BE1</t>
        </is>
      </c>
      <c r="I43" s="5" t="n">
        <v>3</v>
      </c>
      <c r="J43" s="5" t="n">
        <v>4</v>
      </c>
      <c r="K43" s="5" t="inlineStr">
        <is>
          <t>Must</t>
        </is>
      </c>
      <c r="L43" s="5" t="n"/>
      <c r="M43" s="31" t="inlineStr">
        <is>
          <t>Delivered — P1</t>
        </is>
      </c>
      <c r="N43" s="5" t="inlineStr">
        <is>
          <t>Spec 005 — Cost Explorer daily spend</t>
        </is>
      </c>
    </row>
    <row r="44" ht="28" customHeight="1">
      <c r="A44" s="3" t="inlineStr">
        <is>
          <t>R2</t>
        </is>
      </c>
      <c r="B44" s="3" t="inlineStr">
        <is>
          <t>E9</t>
        </is>
      </c>
      <c r="C44" s="25" t="inlineStr">
        <is>
          <t>Cost Governance</t>
        </is>
      </c>
      <c r="D44" s="25" t="inlineStr">
        <is>
          <t>Budgets</t>
        </is>
      </c>
      <c r="E44" s="25" t="inlineStr">
        <is>
          <t>S40</t>
        </is>
      </c>
      <c r="F44" s="25" t="inlineStr">
        <is>
          <t>Auto-create AWS Budgets per project (80%/100% actual+forecast alerts) from project registry</t>
        </is>
      </c>
      <c r="G44" s="3" t="inlineStr">
        <is>
          <t>New project gets budget within a day</t>
        </is>
      </c>
      <c r="H44" s="3" t="inlineStr">
        <is>
          <t>BE2</t>
        </is>
      </c>
      <c r="I44" s="3" t="n">
        <v>2.5</v>
      </c>
      <c r="J44" s="3" t="n">
        <v>5</v>
      </c>
      <c r="K44" s="3" t="inlineStr">
        <is>
          <t>Must</t>
        </is>
      </c>
      <c r="L44" s="3" t="inlineStr">
        <is>
          <t>S39</t>
        </is>
      </c>
      <c r="M44" s="33" t="inlineStr">
        <is>
          <t>Delivered differently</t>
        </is>
      </c>
      <c r="N44" s="5" t="inlineStr">
        <is>
          <t>Spec 005 — budgets per SDA inside CloudPulse, not the AWS Budgets service</t>
        </is>
      </c>
    </row>
    <row r="45" ht="28" customHeight="1">
      <c r="A45" s="5" t="inlineStr">
        <is>
          <t>R2</t>
        </is>
      </c>
      <c r="B45" s="5" t="inlineStr">
        <is>
          <t>E9</t>
        </is>
      </c>
      <c r="C45" s="24" t="inlineStr">
        <is>
          <t>Cost Governance</t>
        </is>
      </c>
      <c r="D45" s="24" t="inlineStr">
        <is>
          <t>Overruns</t>
        </is>
      </c>
      <c r="E45" s="24" t="inlineStr">
        <is>
          <t>S41</t>
        </is>
      </c>
      <c r="F45" s="24" t="inlineStr">
        <is>
          <t>Overrun detection -&gt; budget findings into the standard findings/notification pipeline</t>
        </is>
      </c>
      <c r="G45" s="5" t="inlineStr">
        <is>
          <t>Overrun triggers owner email like a tag finding</t>
        </is>
      </c>
      <c r="H45" s="5" t="inlineStr">
        <is>
          <t>BE2</t>
        </is>
      </c>
      <c r="I45" s="5" t="n">
        <v>2</v>
      </c>
      <c r="J45" s="5" t="n">
        <v>6</v>
      </c>
      <c r="K45" s="5" t="inlineStr">
        <is>
          <t>Must</t>
        </is>
      </c>
      <c r="L45" s="5" t="inlineStr">
        <is>
          <t>S40</t>
        </is>
      </c>
      <c r="M45" s="31" t="inlineStr">
        <is>
          <t>Delivered — P2</t>
        </is>
      </c>
      <c r="N45" s="5" t="inlineStr">
        <is>
          <t>Spec 005 — overrun → finding in the same workbench</t>
        </is>
      </c>
    </row>
    <row r="46" ht="28" customHeight="1">
      <c r="A46" s="3" t="inlineStr">
        <is>
          <t>R2</t>
        </is>
      </c>
      <c r="B46" s="3" t="inlineStr">
        <is>
          <t>E9</t>
        </is>
      </c>
      <c r="C46" s="25" t="inlineStr">
        <is>
          <t>Cost Governance</t>
        </is>
      </c>
      <c r="D46" s="25" t="inlineStr">
        <is>
          <t>Cost UI</t>
        </is>
      </c>
      <c r="E46" s="25" t="inlineStr">
        <is>
          <t>S42</t>
        </is>
      </c>
      <c r="F46" s="25" t="inlineStr">
        <is>
          <t>Cost dashboard: spend by project/SDA/env, trend charts, budget vs actual, drill-down</t>
        </is>
      </c>
      <c r="G46" s="3" t="inlineStr">
        <is>
          <t>Drill from org total to single resource spend</t>
        </is>
      </c>
      <c r="H46" s="3" t="inlineStr">
        <is>
          <t>FE</t>
        </is>
      </c>
      <c r="I46" s="3" t="n">
        <v>4</v>
      </c>
      <c r="J46" s="3" t="n">
        <v>6</v>
      </c>
      <c r="K46" s="3" t="inlineStr">
        <is>
          <t>Must</t>
        </is>
      </c>
      <c r="L46" s="3" t="inlineStr">
        <is>
          <t>S39</t>
        </is>
      </c>
      <c r="M46" s="31" t="inlineStr">
        <is>
          <t>Delivered — P1</t>
        </is>
      </c>
      <c r="N46" s="5" t="inlineStr">
        <is>
          <t>Spec 005 — cost dashboard</t>
        </is>
      </c>
    </row>
    <row r="47" ht="28" customHeight="1">
      <c r="A47" s="5" t="inlineStr">
        <is>
          <t>R2</t>
        </is>
      </c>
      <c r="B47" s="5" t="inlineStr">
        <is>
          <t>E10</t>
        </is>
      </c>
      <c r="C47" s="5" t="inlineStr">
        <is>
          <t>GenAI Insights (Bedrock)</t>
        </is>
      </c>
      <c r="D47" s="5" t="inlineStr">
        <is>
          <t>Digest</t>
        </is>
      </c>
      <c r="E47" s="5" t="inlineStr">
        <is>
          <t>S43</t>
        </is>
      </c>
      <c r="F47" s="5" t="inlineStr">
        <is>
          <t>Bedrock Converse integration + nightly insight digest job (top findings, cost deltas, trends) -&gt; dashboard card</t>
        </is>
      </c>
      <c r="G47" s="5" t="inlineStr">
        <is>
          <t>Digest cites real ARNs/numbers only (validated against DB)</t>
        </is>
      </c>
      <c r="H47" s="5" t="inlineStr">
        <is>
          <t>BE1</t>
        </is>
      </c>
      <c r="I47" s="5" t="n">
        <v>3</v>
      </c>
      <c r="J47" s="5" t="n">
        <v>7</v>
      </c>
      <c r="K47" s="5" t="inlineStr">
        <is>
          <t>Must</t>
        </is>
      </c>
      <c r="L47" s="5" t="inlineStr">
        <is>
          <t>S39</t>
        </is>
      </c>
      <c r="M47" s="31" t="inlineStr">
        <is>
          <t>Delivered — P1</t>
        </is>
      </c>
      <c r="N47" s="5" t="inlineStr">
        <is>
          <t>Spec 006 — daily digest on Bedrock AgentCore + Nova 2 Lite, grounded; proven live (T144)</t>
        </is>
      </c>
    </row>
    <row r="48" ht="28" customHeight="1">
      <c r="A48" s="3" t="inlineStr">
        <is>
          <t>R2</t>
        </is>
      </c>
      <c r="B48" s="3" t="inlineStr">
        <is>
          <t>E10</t>
        </is>
      </c>
      <c r="C48" s="26" t="inlineStr">
        <is>
          <t>GenAI Insights (Bedrock)</t>
        </is>
      </c>
      <c r="D48" s="26" t="inlineStr">
        <is>
          <t>Suggester</t>
        </is>
      </c>
      <c r="E48" s="26" t="inlineStr">
        <is>
          <t>S44</t>
        </is>
      </c>
      <c r="F48" s="26" t="inlineStr">
        <is>
          <t>Remediation suggester: per finding class, action + blast-radius note, shown in approval UI</t>
        </is>
      </c>
      <c r="G48" s="3" t="inlineStr">
        <is>
          <t>Suggestions render in approval screen; humans decide</t>
        </is>
      </c>
      <c r="H48" s="3" t="inlineStr">
        <is>
          <t>BE2</t>
        </is>
      </c>
      <c r="I48" s="3" t="n">
        <v>2.5</v>
      </c>
      <c r="J48" s="3" t="n">
        <v>7</v>
      </c>
      <c r="K48" s="3" t="inlineStr">
        <is>
          <t>Should</t>
        </is>
      </c>
      <c r="L48" s="3" t="inlineStr">
        <is>
          <t>S34</t>
        </is>
      </c>
      <c r="M48" s="33" t="inlineStr">
        <is>
          <t>Delivered differently</t>
        </is>
      </c>
      <c r="N48" s="5" t="inlineStr">
        <is>
          <t>Spec 006 — one suggestion per finding (not per class), grounded; proven live</t>
        </is>
      </c>
    </row>
    <row r="49">
      <c r="A49" s="5" t="inlineStr">
        <is>
          <t>R2</t>
        </is>
      </c>
      <c r="B49" s="5" t="inlineStr">
        <is>
          <t>E10</t>
        </is>
      </c>
      <c r="C49" s="5" t="inlineStr">
        <is>
          <t>GenAI Insights (Bedrock)</t>
        </is>
      </c>
      <c r="D49" s="5" t="inlineStr">
        <is>
          <t>Weekly email</t>
        </is>
      </c>
      <c r="E49" s="5" t="inlineStr">
        <is>
          <t>S45</t>
        </is>
      </c>
      <c r="F49" s="5" t="inlineStr">
        <is>
          <t>Weekly digest email to admins (SES) from stored insights</t>
        </is>
      </c>
      <c r="G49" s="5" t="inlineStr">
        <is>
          <t>Unsubscribes honored; content matches dashboard</t>
        </is>
      </c>
      <c r="H49" s="5" t="inlineStr">
        <is>
          <t>BE2</t>
        </is>
      </c>
      <c r="I49" s="5" t="n">
        <v>1.5</v>
      </c>
      <c r="J49" s="5" t="n">
        <v>8</v>
      </c>
      <c r="K49" s="5" t="inlineStr">
        <is>
          <t>Could</t>
        </is>
      </c>
      <c r="L49" s="5" t="inlineStr">
        <is>
          <t>S43</t>
        </is>
      </c>
      <c r="M49" s="32" t="inlineStr">
        <is>
          <t>Out of scope</t>
        </is>
      </c>
      <c r="N49" s="5" t="inlineStr">
        <is>
          <t>Weekly digest email not built</t>
        </is>
      </c>
    </row>
    <row r="50" ht="28" customHeight="1">
      <c r="A50" s="3" t="inlineStr">
        <is>
          <t>R2</t>
        </is>
      </c>
      <c r="B50" s="3" t="inlineStr">
        <is>
          <t>E10</t>
        </is>
      </c>
      <c r="C50" s="3" t="inlineStr">
        <is>
          <t>GenAI Insights (Bedrock)</t>
        </is>
      </c>
      <c r="D50" s="3" t="inlineStr">
        <is>
          <t>Guardrails</t>
        </is>
      </c>
      <c r="E50" s="3" t="inlineStr">
        <is>
          <t>S46</t>
        </is>
      </c>
      <c r="F50" s="3" t="inlineStr">
        <is>
          <t>Prompt suite + eval harness (golden outputs), cost caps, Haiku/Sonnet routing, Bedrock budget alarm</t>
        </is>
      </c>
      <c r="G50" s="3" t="inlineStr">
        <is>
          <t>Regression eval runs in CI; monthly Bedrock cost alarm</t>
        </is>
      </c>
      <c r="H50" s="3" t="inlineStr">
        <is>
          <t>BE1</t>
        </is>
      </c>
      <c r="I50" s="3" t="n">
        <v>2</v>
      </c>
      <c r="J50" s="3" t="n">
        <v>8</v>
      </c>
      <c r="K50" s="3" t="inlineStr">
        <is>
          <t>Should</t>
        </is>
      </c>
      <c r="L50" s="3" t="inlineStr">
        <is>
          <t>S43</t>
        </is>
      </c>
      <c r="M50" s="33" t="inlineStr">
        <is>
          <t>Partly delivered</t>
        </is>
      </c>
      <c r="N50" s="5" t="inlineStr">
        <is>
          <t>Spec 006 — eval suite (16 cases) + per-run token cap; single model, no routing</t>
        </is>
      </c>
    </row>
    <row r="51" ht="28" customHeight="1">
      <c r="A51" s="5" t="inlineStr">
        <is>
          <t>R2</t>
        </is>
      </c>
      <c r="B51" s="5" t="inlineStr">
        <is>
          <t>E11</t>
        </is>
      </c>
      <c r="C51" s="5" t="inlineStr">
        <is>
          <t>Unused Resources &amp; IAM Hygiene</t>
        </is>
      </c>
      <c r="D51" s="5" t="inlineStr">
        <is>
          <t>Enrichers</t>
        </is>
      </c>
      <c r="E51" s="5" t="inlineStr">
        <is>
          <t>S47</t>
        </is>
      </c>
      <c r="F51" s="5" t="inlineStr">
        <is>
          <t>Enrichers: EKS, DynamoDB, ELB, IAM (roles/users/keys inventory)</t>
        </is>
      </c>
      <c r="G51" s="5" t="inlineStr">
        <is>
          <t>New types visible in inventory with detail</t>
        </is>
      </c>
      <c r="H51" s="5" t="inlineStr">
        <is>
          <t>BE2</t>
        </is>
      </c>
      <c r="I51" s="5" t="n">
        <v>3</v>
      </c>
      <c r="J51" s="5" t="n">
        <v>7</v>
      </c>
      <c r="K51" s="5" t="inlineStr">
        <is>
          <t>Must</t>
        </is>
      </c>
      <c r="L51" s="5" t="inlineStr">
        <is>
          <t>S12</t>
        </is>
      </c>
      <c r="M51" s="31" t="inlineStr">
        <is>
          <t>Delivered — P2</t>
        </is>
      </c>
      <c r="N51" s="5" t="inlineStr">
        <is>
          <t>Spec 002 — EKS, DynamoDB, ELBv2, IAM role enrichers; grants fixed live (T064)</t>
        </is>
      </c>
    </row>
    <row r="52" ht="42" customHeight="1">
      <c r="A52" s="3" t="inlineStr">
        <is>
          <t>R2</t>
        </is>
      </c>
      <c r="B52" s="3" t="inlineStr">
        <is>
          <t>E11</t>
        </is>
      </c>
      <c r="C52" s="3" t="inlineStr">
        <is>
          <t>Unused Resources &amp; IAM Hygiene</t>
        </is>
      </c>
      <c r="D52" s="3" t="inlineStr">
        <is>
          <t>Unused v1</t>
        </is>
      </c>
      <c r="E52" s="3" t="inlineStr">
        <is>
          <t>S48</t>
        </is>
      </c>
      <c r="F52" s="3" t="inlineStr">
        <is>
          <t>Unused detection: idle EC2 (CPU&lt;5% 14d), unattached EBS, orphaned EIP, idle RDS -&gt; findings with monthly savings estimate</t>
        </is>
      </c>
      <c r="G52" s="3" t="inlineStr">
        <is>
          <t>Savings estimate within 20% of CE numbers</t>
        </is>
      </c>
      <c r="H52" s="3" t="inlineStr">
        <is>
          <t>BE1</t>
        </is>
      </c>
      <c r="I52" s="3" t="n">
        <v>4</v>
      </c>
      <c r="J52" s="3" t="n">
        <v>8</v>
      </c>
      <c r="K52" s="3" t="inlineStr">
        <is>
          <t>Must</t>
        </is>
      </c>
      <c r="L52" s="3" t="inlineStr">
        <is>
          <t>S39,S47</t>
        </is>
      </c>
      <c r="M52" s="32" t="inlineStr">
        <is>
          <t>Out of scope</t>
        </is>
      </c>
      <c r="N52" s="5" t="inlineStr">
        <is>
          <t>Superseded by utilization (S54) and rightsizing (S52)</t>
        </is>
      </c>
    </row>
    <row r="53" ht="28" customHeight="1">
      <c r="A53" s="5" t="inlineStr">
        <is>
          <t>R2</t>
        </is>
      </c>
      <c r="B53" s="5" t="inlineStr">
        <is>
          <t>E16</t>
        </is>
      </c>
      <c r="C53" s="5" t="inlineStr">
        <is>
          <t>R2 Hardening</t>
        </is>
      </c>
      <c r="D53" s="5" t="inlineStr">
        <is>
          <t>Hardening</t>
        </is>
      </c>
      <c r="E53" s="5" t="inlineStr">
        <is>
          <t>S49</t>
        </is>
      </c>
      <c r="F53" s="5" t="inlineStr">
        <is>
          <t>Load test (50 accounts simulated), security review of remediation path, docs refresh</t>
        </is>
      </c>
      <c r="G53" s="5" t="inlineStr">
        <is>
          <t>Scan of 50 accounts &lt;30 min; pen-test checklist clean</t>
        </is>
      </c>
      <c r="H53" s="5" t="inlineStr">
        <is>
          <t>DevOps</t>
        </is>
      </c>
      <c r="I53" s="5" t="n">
        <v>4</v>
      </c>
      <c r="J53" s="5" t="n">
        <v>8</v>
      </c>
      <c r="K53" s="5" t="inlineStr">
        <is>
          <t>Should</t>
        </is>
      </c>
      <c r="L53" s="5" t="n"/>
      <c r="M53" s="32" t="inlineStr">
        <is>
          <t>Out of scope</t>
        </is>
      </c>
      <c r="N53" s="5" t="inlineStr">
        <is>
          <t>Load test not run; remediation path does not exist</t>
        </is>
      </c>
    </row>
    <row r="54" ht="28" customHeight="1">
      <c r="A54" s="3" t="inlineStr">
        <is>
          <t>R3</t>
        </is>
      </c>
      <c r="B54" s="3" t="inlineStr">
        <is>
          <t>E12</t>
        </is>
      </c>
      <c r="C54" s="27" t="inlineStr">
        <is>
          <t>Predictive Intelligence</t>
        </is>
      </c>
      <c r="D54" s="27" t="inlineStr">
        <is>
          <t>Metrics</t>
        </is>
      </c>
      <c r="E54" s="27" t="inlineStr">
        <is>
          <t>S50</t>
        </is>
      </c>
      <c r="F54" s="27" t="inlineStr">
        <is>
          <t>CloudWatch metrics collection (CPU/mem/network/storage) for EC2/RDS into metrics store (Timestream or Postgres partitioned)</t>
        </is>
      </c>
      <c r="G54" s="3" t="inlineStr">
        <is>
          <t>14d of metrics for all discovered instances</t>
        </is>
      </c>
      <c r="H54" s="3" t="inlineStr">
        <is>
          <t>BE2</t>
        </is>
      </c>
      <c r="I54" s="3" t="n">
        <v>4</v>
      </c>
      <c r="J54" s="3" t="n">
        <v>9</v>
      </c>
      <c r="K54" s="3" t="inlineStr">
        <is>
          <t>Must</t>
        </is>
      </c>
      <c r="L54" s="3" t="n"/>
      <c r="M54" s="31" t="inlineStr">
        <is>
          <t>Delivered — P2</t>
        </is>
      </c>
      <c r="N54" s="5" t="inlineStr">
        <is>
          <t>Spec 006 — CloudWatch metrics collector</t>
        </is>
      </c>
    </row>
    <row r="55" ht="28" customHeight="1">
      <c r="A55" s="5" t="inlineStr">
        <is>
          <t>R3</t>
        </is>
      </c>
      <c r="B55" s="5" t="inlineStr">
        <is>
          <t>E12</t>
        </is>
      </c>
      <c r="C55" s="28" t="inlineStr">
        <is>
          <t>Predictive Intelligence</t>
        </is>
      </c>
      <c r="D55" s="28" t="inlineStr">
        <is>
          <t>Forecast</t>
        </is>
      </c>
      <c r="E55" s="28" t="inlineStr">
        <is>
          <t>S51</t>
        </is>
      </c>
      <c r="F55" s="28" t="inlineStr">
        <is>
          <t>Spend + capacity forecasting (per project) with trend models; accuracy backtesting</t>
        </is>
      </c>
      <c r="G55" s="5" t="inlineStr">
        <is>
          <t>Backtest MAPE &lt; 15% on 3 test projects</t>
        </is>
      </c>
      <c r="H55" s="5" t="inlineStr">
        <is>
          <t>BE1</t>
        </is>
      </c>
      <c r="I55" s="5" t="n">
        <v>5</v>
      </c>
      <c r="J55" s="5" t="n">
        <v>10</v>
      </c>
      <c r="K55" s="5" t="inlineStr">
        <is>
          <t>Must</t>
        </is>
      </c>
      <c r="L55" s="5" t="inlineStr">
        <is>
          <t>S50</t>
        </is>
      </c>
      <c r="M55" s="31" t="inlineStr">
        <is>
          <t>Delivered — P2</t>
        </is>
      </c>
      <c r="N55" s="5" t="inlineStr">
        <is>
          <t>Spec 006 — least-squares forecasts with backtest</t>
        </is>
      </c>
    </row>
    <row r="56" ht="28" customHeight="1">
      <c r="A56" s="3" t="inlineStr">
        <is>
          <t>R3</t>
        </is>
      </c>
      <c r="B56" s="3" t="inlineStr">
        <is>
          <t>E12</t>
        </is>
      </c>
      <c r="C56" s="27" t="inlineStr">
        <is>
          <t>Predictive Intelligence</t>
        </is>
      </c>
      <c r="D56" s="27" t="inlineStr">
        <is>
          <t>Rightsizing</t>
        </is>
      </c>
      <c r="E56" s="27" t="inlineStr">
        <is>
          <t>S52</t>
        </is>
      </c>
      <c r="F56" s="27" t="inlineStr">
        <is>
          <t>Rightsizing recommendations: Compute Optimizer + usage analysis (m5.2xlarge -&gt; m5.xlarge class moves), savings math</t>
        </is>
      </c>
      <c r="G56" s="3" t="inlineStr">
        <is>
          <t>Each rec shows evidence + monthly delta</t>
        </is>
      </c>
      <c r="H56" s="3" t="inlineStr">
        <is>
          <t>BE1</t>
        </is>
      </c>
      <c r="I56" s="3" t="n">
        <v>4</v>
      </c>
      <c r="J56" s="3" t="n">
        <v>11</v>
      </c>
      <c r="K56" s="3" t="inlineStr">
        <is>
          <t>Must</t>
        </is>
      </c>
      <c r="L56" s="3" t="inlineStr">
        <is>
          <t>S50</t>
        </is>
      </c>
      <c r="M56" s="33" t="inlineStr">
        <is>
          <t>Delivered differently</t>
        </is>
      </c>
      <c r="N56" s="5" t="inlineStr">
        <is>
          <t>Spec 006 — own low-and-steady CPU analysis, not Compute Optimizer</t>
        </is>
      </c>
    </row>
    <row r="57">
      <c r="A57" s="5" t="inlineStr">
        <is>
          <t>R3</t>
        </is>
      </c>
      <c r="B57" s="5" t="inlineStr">
        <is>
          <t>E12</t>
        </is>
      </c>
      <c r="C57" s="28" t="inlineStr">
        <is>
          <t>Predictive Intelligence</t>
        </is>
      </c>
      <c r="D57" s="28" t="inlineStr">
        <is>
          <t>Narratives</t>
        </is>
      </c>
      <c r="E57" s="28" t="inlineStr">
        <is>
          <t>S53</t>
        </is>
      </c>
      <c r="F57" s="28" t="inlineStr">
        <is>
          <t>Bedrock forecast narratives on cost/forecast pages</t>
        </is>
      </c>
      <c r="G57" s="5" t="inlineStr">
        <is>
          <t>Narrative numbers match charts exactly</t>
        </is>
      </c>
      <c r="H57" s="5" t="inlineStr">
        <is>
          <t>BE2</t>
        </is>
      </c>
      <c r="I57" s="5" t="n">
        <v>2</v>
      </c>
      <c r="J57" s="5" t="n">
        <v>12</v>
      </c>
      <c r="K57" s="5" t="inlineStr">
        <is>
          <t>Could</t>
        </is>
      </c>
      <c r="L57" s="5" t="inlineStr">
        <is>
          <t>S51</t>
        </is>
      </c>
      <c r="M57" s="32" t="inlineStr">
        <is>
          <t>Descoped</t>
        </is>
      </c>
      <c r="N57" s="5" t="inlineStr">
        <is>
          <t>Spec 006 User Story 7 descoped — narrator built, not displayed</t>
        </is>
      </c>
    </row>
    <row r="58">
      <c r="A58" s="3" t="inlineStr">
        <is>
          <t>R3</t>
        </is>
      </c>
      <c r="B58" s="3" t="inlineStr">
        <is>
          <t>E13</t>
        </is>
      </c>
      <c r="C58" s="29" t="inlineStr">
        <is>
          <t>Sandbox Utilization</t>
        </is>
      </c>
      <c r="D58" s="29" t="inlineStr">
        <is>
          <t>Calc</t>
        </is>
      </c>
      <c r="E58" s="29" t="inlineStr">
        <is>
          <t>S54</t>
        </is>
      </c>
      <c r="F58" s="29" t="inlineStr">
        <is>
          <t>Utilization % (used vs provisioned) per account and project</t>
        </is>
      </c>
      <c r="G58" s="3" t="inlineStr">
        <is>
          <t>Formula documented; matches manual calc</t>
        </is>
      </c>
      <c r="H58" s="3" t="inlineStr">
        <is>
          <t>BE2</t>
        </is>
      </c>
      <c r="I58" s="3" t="n">
        <v>3</v>
      </c>
      <c r="J58" s="3" t="n">
        <v>11</v>
      </c>
      <c r="K58" s="3" t="inlineStr">
        <is>
          <t>Must</t>
        </is>
      </c>
      <c r="L58" s="3" t="inlineStr">
        <is>
          <t>S50</t>
        </is>
      </c>
      <c r="M58" s="31" t="inlineStr">
        <is>
          <t>Delivered — P2</t>
        </is>
      </c>
      <c r="N58" s="5" t="inlineStr">
        <is>
          <t>Spec 005 — utilization (active vs idle)</t>
        </is>
      </c>
    </row>
    <row r="59">
      <c r="A59" s="5" t="inlineStr">
        <is>
          <t>R3</t>
        </is>
      </c>
      <c r="B59" s="5" t="inlineStr">
        <is>
          <t>E13</t>
        </is>
      </c>
      <c r="C59" s="30" t="inlineStr">
        <is>
          <t>Sandbox Utilization</t>
        </is>
      </c>
      <c r="D59" s="30" t="inlineStr">
        <is>
          <t>UI</t>
        </is>
      </c>
      <c r="E59" s="30" t="inlineStr">
        <is>
          <t>S55</t>
        </is>
      </c>
      <c r="F59" s="30" t="inlineStr">
        <is>
          <t>Utilization pages with account -&gt; project -&gt; resource drill-down</t>
        </is>
      </c>
      <c r="G59" s="5" t="inlineStr">
        <is>
          <t>Drill-down in &lt;3 clicks</t>
        </is>
      </c>
      <c r="H59" s="5" t="inlineStr">
        <is>
          <t>FE</t>
        </is>
      </c>
      <c r="I59" s="5" t="n">
        <v>3</v>
      </c>
      <c r="J59" s="5" t="n">
        <v>12</v>
      </c>
      <c r="K59" s="5" t="inlineStr">
        <is>
          <t>Must</t>
        </is>
      </c>
      <c r="L59" s="5" t="inlineStr">
        <is>
          <t>S54</t>
        </is>
      </c>
      <c r="M59" s="31" t="inlineStr">
        <is>
          <t>Delivered — P2</t>
        </is>
      </c>
      <c r="N59" s="5" t="inlineStr">
        <is>
          <t>Spec 005 — utilization page</t>
        </is>
      </c>
    </row>
    <row r="60" ht="28" customHeight="1">
      <c r="A60" s="3" t="inlineStr">
        <is>
          <t>R3</t>
        </is>
      </c>
      <c r="B60" s="3" t="inlineStr">
        <is>
          <t>E11</t>
        </is>
      </c>
      <c r="C60" s="29" t="inlineStr">
        <is>
          <t>Unused Resources &amp; IAM Hygiene</t>
        </is>
      </c>
      <c r="D60" s="29" t="inlineStr">
        <is>
          <t>IAM hygiene</t>
        </is>
      </c>
      <c r="E60" s="29" t="inlineStr">
        <is>
          <t>S56</t>
        </is>
      </c>
      <c r="F60" s="29" t="inlineStr">
        <is>
          <t>Unused IAM roles/keys: last-used analysis, access patterns, cleanup recommendations (flag only)</t>
        </is>
      </c>
      <c r="G60" s="3" t="inlineStr">
        <is>
          <t>Zero false 'unused' on active roles in test org</t>
        </is>
      </c>
      <c r="H60" s="3" t="inlineStr">
        <is>
          <t>BE2</t>
        </is>
      </c>
      <c r="I60" s="3" t="n">
        <v>4</v>
      </c>
      <c r="J60" s="3" t="n">
        <v>12</v>
      </c>
      <c r="K60" s="3" t="inlineStr">
        <is>
          <t>Must</t>
        </is>
      </c>
      <c r="L60" s="3" t="inlineStr">
        <is>
          <t>S47</t>
        </is>
      </c>
      <c r="M60" s="31" t="inlineStr">
        <is>
          <t>Delivered — P2</t>
        </is>
      </c>
      <c r="N60" s="5" t="inlineStr">
        <is>
          <t>Spec 005 — IAM hygiene, weekly, flag-only</t>
        </is>
      </c>
    </row>
    <row r="61" ht="28" customHeight="1">
      <c r="A61" s="5" t="inlineStr">
        <is>
          <t>R3</t>
        </is>
      </c>
      <c r="B61" s="5" t="inlineStr">
        <is>
          <t>E14</t>
        </is>
      </c>
      <c r="C61" s="5" t="inlineStr">
        <is>
          <t>NL Q&amp;A Copilot</t>
        </is>
      </c>
      <c r="D61" s="5" t="inlineStr">
        <is>
          <t>Tools</t>
        </is>
      </c>
      <c r="E61" s="5" t="inlineStr">
        <is>
          <t>S57</t>
        </is>
      </c>
      <c r="F61" s="5" t="inlineStr">
        <is>
          <t>Read-only tool endpoints for LLM (query inventory, findings, spend) with tenant scoping + limits</t>
        </is>
      </c>
      <c r="G61" s="5" t="inlineStr">
        <is>
          <t>Tools reject cross-tenant and write attempts</t>
        </is>
      </c>
      <c r="H61" s="5" t="inlineStr">
        <is>
          <t>BE1</t>
        </is>
      </c>
      <c r="I61" s="5" t="n">
        <v>3</v>
      </c>
      <c r="J61" s="5" t="n">
        <v>12</v>
      </c>
      <c r="K61" s="5" t="inlineStr">
        <is>
          <t>Must</t>
        </is>
      </c>
      <c r="L61" s="5" t="n"/>
      <c r="M61" s="32" t="inlineStr">
        <is>
          <t>Out of scope</t>
        </is>
      </c>
      <c r="N61" s="5" t="inlineStr">
        <is>
          <t>NL Q&amp;A out of scope (agents do use read-only allowlisted API tools)</t>
        </is>
      </c>
    </row>
    <row r="62" ht="28" customHeight="1">
      <c r="A62" s="3" t="inlineStr">
        <is>
          <t>R3</t>
        </is>
      </c>
      <c r="B62" s="3" t="inlineStr">
        <is>
          <t>E14</t>
        </is>
      </c>
      <c r="C62" s="3" t="inlineStr">
        <is>
          <t>NL Q&amp;A Copilot</t>
        </is>
      </c>
      <c r="D62" s="3" t="inlineStr">
        <is>
          <t>Orchestration</t>
        </is>
      </c>
      <c r="E62" s="3" t="inlineStr">
        <is>
          <t>S58</t>
        </is>
      </c>
      <c r="F62" s="3" t="inlineStr">
        <is>
          <t>Bedrock tool-use orchestration loop, answer synthesis with ARN citations, conversation state</t>
        </is>
      </c>
      <c r="G62" s="3" t="inlineStr">
        <is>
          <t>10 canned questions answered correctly</t>
        </is>
      </c>
      <c r="H62" s="3" t="inlineStr">
        <is>
          <t>BE1</t>
        </is>
      </c>
      <c r="I62" s="3" t="n">
        <v>4</v>
      </c>
      <c r="J62" s="3" t="n">
        <v>13</v>
      </c>
      <c r="K62" s="3" t="inlineStr">
        <is>
          <t>Must</t>
        </is>
      </c>
      <c r="L62" s="3" t="inlineStr">
        <is>
          <t>S57</t>
        </is>
      </c>
      <c r="M62" s="32" t="inlineStr">
        <is>
          <t>Out of scope</t>
        </is>
      </c>
      <c r="N62" s="5" t="inlineStr">
        <is>
          <t>NL Q&amp;A out of scope</t>
        </is>
      </c>
    </row>
    <row r="63" ht="28" customHeight="1">
      <c r="A63" s="5" t="inlineStr">
        <is>
          <t>R3</t>
        </is>
      </c>
      <c r="B63" s="5" t="inlineStr">
        <is>
          <t>E14</t>
        </is>
      </c>
      <c r="C63" s="5" t="inlineStr">
        <is>
          <t>NL Q&amp;A Copilot</t>
        </is>
      </c>
      <c r="D63" s="5" t="inlineStr">
        <is>
          <t>Chat UI</t>
        </is>
      </c>
      <c r="E63" s="5" t="inlineStr">
        <is>
          <t>S59</t>
        </is>
      </c>
      <c r="F63" s="5" t="inlineStr">
        <is>
          <t>Chat panel in dashboard with streamed responses + citation links</t>
        </is>
      </c>
      <c r="G63" s="5" t="inlineStr">
        <is>
          <t>Citation click opens resource detail</t>
        </is>
      </c>
      <c r="H63" s="5" t="inlineStr">
        <is>
          <t>FE</t>
        </is>
      </c>
      <c r="I63" s="5" t="n">
        <v>3</v>
      </c>
      <c r="J63" s="5" t="n">
        <v>13</v>
      </c>
      <c r="K63" s="5" t="inlineStr">
        <is>
          <t>Should</t>
        </is>
      </c>
      <c r="L63" s="5" t="inlineStr">
        <is>
          <t>S58</t>
        </is>
      </c>
      <c r="M63" s="32" t="inlineStr">
        <is>
          <t>Out of scope</t>
        </is>
      </c>
      <c r="N63" s="5" t="inlineStr">
        <is>
          <t>NL Q&amp;A out of scope</t>
        </is>
      </c>
    </row>
    <row r="64" ht="28" customHeight="1">
      <c r="A64" s="3" t="inlineStr">
        <is>
          <t>R3</t>
        </is>
      </c>
      <c r="B64" s="3" t="inlineStr">
        <is>
          <t>E15</t>
        </is>
      </c>
      <c r="C64" s="3" t="inlineStr">
        <is>
          <t>SaaS &amp; Multi-Cloud Readiness</t>
        </is>
      </c>
      <c r="D64" s="3" t="inlineStr">
        <is>
          <t>Tenancy</t>
        </is>
      </c>
      <c r="E64" s="3" t="inlineStr">
        <is>
          <t>S60</t>
        </is>
      </c>
      <c r="F64" s="3" t="inlineStr">
        <is>
          <t>Tenant onboarding flow: signup, per-tenant ExternalId issue/rotation, tenant admin role</t>
        </is>
      </c>
      <c r="G64" s="3" t="inlineStr">
        <is>
          <t>Second tenant sees only its own data (tested)</t>
        </is>
      </c>
      <c r="H64" s="3" t="inlineStr">
        <is>
          <t>BE1</t>
        </is>
      </c>
      <c r="I64" s="3" t="n">
        <v>4</v>
      </c>
      <c r="J64" s="3" t="n">
        <v>13</v>
      </c>
      <c r="K64" s="3" t="inlineStr">
        <is>
          <t>Must</t>
        </is>
      </c>
      <c r="L64" s="3" t="n"/>
      <c r="M64" s="32" t="inlineStr">
        <is>
          <t>Out of scope</t>
        </is>
      </c>
      <c r="N64" s="5" t="inlineStr">
        <is>
          <t>Single tenant; tenant_id everywhere keeps it possible</t>
        </is>
      </c>
    </row>
    <row r="65" ht="28" customHeight="1">
      <c r="A65" s="5" t="inlineStr">
        <is>
          <t>R3</t>
        </is>
      </c>
      <c r="B65" s="5" t="inlineStr">
        <is>
          <t>E15</t>
        </is>
      </c>
      <c r="C65" s="5" t="inlineStr">
        <is>
          <t>SaaS &amp; Multi-Cloud Readiness</t>
        </is>
      </c>
      <c r="D65" s="5" t="inlineStr">
        <is>
          <t>Metering</t>
        </is>
      </c>
      <c r="E65" s="5" t="inlineStr">
        <is>
          <t>S61</t>
        </is>
      </c>
      <c r="F65" s="5" t="inlineStr">
        <is>
          <t>Usage metering (accounts, resources, scans per tenant) for future billing</t>
        </is>
      </c>
      <c r="G65" s="5" t="inlineStr">
        <is>
          <t>Metering report per tenant per month</t>
        </is>
      </c>
      <c r="H65" s="5" t="inlineStr">
        <is>
          <t>BE2</t>
        </is>
      </c>
      <c r="I65" s="5" t="n">
        <v>3</v>
      </c>
      <c r="J65" s="5" t="n">
        <v>14</v>
      </c>
      <c r="K65" s="5" t="inlineStr">
        <is>
          <t>Should</t>
        </is>
      </c>
      <c r="L65" s="5" t="inlineStr">
        <is>
          <t>S60</t>
        </is>
      </c>
      <c r="M65" s="32" t="inlineStr">
        <is>
          <t>Out of scope</t>
        </is>
      </c>
      <c r="N65" s="5" t="inlineStr">
        <is>
          <t>Not built</t>
        </is>
      </c>
    </row>
    <row r="66" ht="28" customHeight="1">
      <c r="A66" s="3" t="inlineStr">
        <is>
          <t>R3</t>
        </is>
      </c>
      <c r="B66" s="3" t="inlineStr">
        <is>
          <t>E15</t>
        </is>
      </c>
      <c r="C66" s="3" t="inlineStr">
        <is>
          <t>SaaS &amp; Multi-Cloud Readiness</t>
        </is>
      </c>
      <c r="D66" s="3" t="inlineStr">
        <is>
          <t>Azure spike</t>
        </is>
      </c>
      <c r="E66" s="3" t="inlineStr">
        <is>
          <t>S62</t>
        </is>
      </c>
      <c r="F66" s="3" t="inlineStr">
        <is>
          <t>Azure connector spike: implement connector interface with Resource Graph + tags for 5 resource types</t>
        </is>
      </c>
      <c r="G66" s="3" t="inlineStr">
        <is>
          <t>Azure resources render in same inventory UI</t>
        </is>
      </c>
      <c r="H66" s="3" t="inlineStr">
        <is>
          <t>BE2</t>
        </is>
      </c>
      <c r="I66" s="3" t="n">
        <v>5</v>
      </c>
      <c r="J66" s="3" t="n">
        <v>14</v>
      </c>
      <c r="K66" s="3" t="inlineStr">
        <is>
          <t>Should</t>
        </is>
      </c>
      <c r="L66" s="3" t="inlineStr">
        <is>
          <t>S11</t>
        </is>
      </c>
      <c r="M66" s="32" t="inlineStr">
        <is>
          <t>Out of scope</t>
        </is>
      </c>
      <c r="N66" s="5" t="inlineStr">
        <is>
          <t>Connector protocol ready; Azure not started</t>
        </is>
      </c>
    </row>
    <row r="67" ht="28" customHeight="1">
      <c r="A67" s="5" t="inlineStr">
        <is>
          <t>R3</t>
        </is>
      </c>
      <c r="B67" s="5" t="inlineStr">
        <is>
          <t>E15</t>
        </is>
      </c>
      <c r="C67" s="5" t="inlineStr">
        <is>
          <t>SaaS &amp; Multi-Cloud Readiness</t>
        </is>
      </c>
      <c r="D67" s="5" t="inlineStr">
        <is>
          <t>Reports</t>
        </is>
      </c>
      <c r="E67" s="5" t="inlineStr">
        <is>
          <t>S63</t>
        </is>
      </c>
      <c r="F67" s="5" t="inlineStr">
        <is>
          <t>Report generation: compliance + cost PDF/Excel exports, scheduled email delivery</t>
        </is>
      </c>
      <c r="G67" s="5" t="inlineStr">
        <is>
          <t>Monthly report auto-emails to admins</t>
        </is>
      </c>
      <c r="H67" s="5" t="inlineStr">
        <is>
          <t>FE</t>
        </is>
      </c>
      <c r="I67" s="5" t="n">
        <v>3</v>
      </c>
      <c r="J67" s="5" t="n">
        <v>14</v>
      </c>
      <c r="K67" s="5" t="inlineStr">
        <is>
          <t>Should</t>
        </is>
      </c>
      <c r="L67" s="5" t="inlineStr">
        <is>
          <t>S42</t>
        </is>
      </c>
      <c r="M67" s="32" t="inlineStr">
        <is>
          <t>Out of scope</t>
        </is>
      </c>
      <c r="N67" s="5" t="inlineStr">
        <is>
          <t>Not built</t>
        </is>
      </c>
    </row>
  </sheetData>
  <autoFilter ref="A1:N67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10" customWidth="1" min="1" max="1"/>
    <col width="34" customWidth="1" min="2" max="2"/>
    <col width="12" customWidth="1" min="3" max="4"/>
    <col width="18" customWidth="1" min="5" max="5"/>
    <col width="16" customWidth="1" min="6" max="6"/>
    <col width="12" customWidth="1" min="7" max="7"/>
    <col width="14" customWidth="1" min="8" max="8"/>
  </cols>
  <sheetData>
    <row r="1" ht="18" customHeight="1">
      <c r="A1" s="7" t="inlineStr">
        <is>
          <t>CloudPulse AI — Backlog Summary</t>
        </is>
      </c>
    </row>
    <row r="3">
      <c r="A3" s="1" t="inlineStr">
        <is>
          <t>Capacity vs load per release</t>
        </is>
      </c>
    </row>
    <row r="4" ht="29" customHeight="1">
      <c r="A4" s="8" t="inlineStr">
        <is>
          <t>Release</t>
        </is>
      </c>
      <c r="B4" s="8" t="inlineStr">
        <is>
          <t>Weeks</t>
        </is>
      </c>
      <c r="C4" s="8" t="inlineStr">
        <is>
          <t>People</t>
        </is>
      </c>
      <c r="D4" s="8" t="inlineStr">
        <is>
          <t>Raw capacity (pd)</t>
        </is>
      </c>
      <c r="E4" s="8" t="inlineStr">
        <is>
          <t>Focus capacity (80%)</t>
        </is>
      </c>
      <c r="F4" s="8" t="inlineStr">
        <is>
          <t>Planned load (pd)</t>
        </is>
      </c>
      <c r="G4" s="8" t="inlineStr">
        <is>
          <t>Load vs RAW</t>
        </is>
      </c>
      <c r="H4" s="8" t="inlineStr">
        <is>
          <t>Load vs FOCUS</t>
        </is>
      </c>
    </row>
    <row r="5">
      <c r="A5" s="6" t="inlineStr">
        <is>
          <t>R1</t>
        </is>
      </c>
      <c r="B5" s="6" t="n">
        <v>3</v>
      </c>
      <c r="C5" s="6" t="n">
        <v>4</v>
      </c>
      <c r="D5" s="6">
        <f>B5*C5*5</f>
        <v/>
      </c>
      <c r="E5" s="6">
        <f>D5*0.8</f>
        <v/>
      </c>
      <c r="F5" s="6">
        <f>SUMIFS(Backlog!$I$2:$I$67,Backlog!$A$2:$A$67,A5)</f>
        <v/>
      </c>
      <c r="G5" s="9">
        <f>F5/D5</f>
        <v/>
      </c>
      <c r="H5" s="9">
        <f>F5/E5</f>
        <v/>
      </c>
    </row>
    <row r="6">
      <c r="A6" s="6" t="inlineStr">
        <is>
          <t>R2</t>
        </is>
      </c>
      <c r="B6" s="6" t="n">
        <v>5</v>
      </c>
      <c r="C6" s="6" t="n">
        <v>4</v>
      </c>
      <c r="D6" s="6">
        <f>B6*C6*5</f>
        <v/>
      </c>
      <c r="E6" s="6">
        <f>D6*0.8</f>
        <v/>
      </c>
      <c r="F6" s="6">
        <f>SUMIFS(Backlog!$I$2:$I$67,Backlog!$A$2:$A$67,A6)</f>
        <v/>
      </c>
      <c r="G6" s="9">
        <f>F6/D6</f>
        <v/>
      </c>
      <c r="H6" s="9">
        <f>F6/E6</f>
        <v/>
      </c>
    </row>
    <row r="7">
      <c r="A7" s="6" t="inlineStr">
        <is>
          <t>R3</t>
        </is>
      </c>
      <c r="B7" s="6" t="n">
        <v>6</v>
      </c>
      <c r="C7" s="6" t="n">
        <v>4</v>
      </c>
      <c r="D7" s="6">
        <f>B7*C7*5</f>
        <v/>
      </c>
      <c r="E7" s="6">
        <f>D7*0.8</f>
        <v/>
      </c>
      <c r="F7" s="6">
        <f>SUMIFS(Backlog!$I$2:$I$67,Backlog!$A$2:$A$67,A7)</f>
        <v/>
      </c>
      <c r="G7" s="9">
        <f>F7/D7</f>
        <v/>
      </c>
      <c r="H7" s="9">
        <f>F7/E7</f>
        <v/>
      </c>
    </row>
    <row r="8">
      <c r="A8" s="10" t="inlineStr">
        <is>
          <t>Note: R1 runs above focus capacity by design — scope is frozen; overflow stories (marked 'Should') are the cut line.</t>
        </is>
      </c>
    </row>
    <row r="10">
      <c r="A10" s="1" t="inlineStr">
        <is>
          <t>Load by epic</t>
        </is>
      </c>
    </row>
    <row r="11">
      <c r="A11" s="11" t="inlineStr">
        <is>
          <t>Epic ID</t>
        </is>
      </c>
      <c r="B11" s="11" t="inlineStr">
        <is>
          <t>Epic</t>
        </is>
      </c>
      <c r="C11" s="11" t="inlineStr">
        <is>
          <t>Release(s)</t>
        </is>
      </c>
      <c r="D11" s="11" t="inlineStr">
        <is>
          <t>Stories</t>
        </is>
      </c>
      <c r="E11" s="11" t="inlineStr">
        <is>
          <t>Planned load (pd)</t>
        </is>
      </c>
    </row>
    <row r="12">
      <c r="A12" s="6" t="inlineStr">
        <is>
          <t>E1</t>
        </is>
      </c>
      <c r="B12" s="6" t="inlineStr">
        <is>
          <t>Platform Foundation</t>
        </is>
      </c>
      <c r="C12" s="6" t="inlineStr">
        <is>
          <t>R1</t>
        </is>
      </c>
      <c r="D12" s="6">
        <f>COUNTIFS(Backlog!$B$2:$B$67,A12,Backlog!$C$2:$C$67,B12)</f>
        <v/>
      </c>
      <c r="E12" s="6">
        <f>SUMIFS(Backlog!$I$2:$I$67,Backlog!$B$2:$B$67,A12,Backlog!$C$2:$C$67,B12)</f>
        <v/>
      </c>
    </row>
    <row r="13">
      <c r="A13" s="6" t="inlineStr">
        <is>
          <t>E2</t>
        </is>
      </c>
      <c r="B13" s="6" t="inlineStr">
        <is>
          <t>Account Onboarding &amp; Access</t>
        </is>
      </c>
      <c r="C13" s="6" t="inlineStr">
        <is>
          <t>R1</t>
        </is>
      </c>
      <c r="D13" s="6">
        <f>COUNTIFS(Backlog!$B$2:$B$67,A13,Backlog!$C$2:$C$67,B13)</f>
        <v/>
      </c>
      <c r="E13" s="6">
        <f>SUMIFS(Backlog!$I$2:$I$67,Backlog!$B$2:$B$67,A13,Backlog!$C$2:$C$67,B13)</f>
        <v/>
      </c>
    </row>
    <row r="14">
      <c r="A14" s="6" t="inlineStr">
        <is>
          <t>E3</t>
        </is>
      </c>
      <c r="B14" s="6" t="inlineStr">
        <is>
          <t>Resource Discovery Engine</t>
        </is>
      </c>
      <c r="C14" s="6" t="inlineStr">
        <is>
          <t>R1</t>
        </is>
      </c>
      <c r="D14" s="6">
        <f>COUNTIFS(Backlog!$B$2:$B$67,A14,Backlog!$C$2:$C$67,B14)</f>
        <v/>
      </c>
      <c r="E14" s="6">
        <f>SUMIFS(Backlog!$I$2:$I$67,Backlog!$B$2:$B$67,A14,Backlog!$C$2:$C$67,B14)</f>
        <v/>
      </c>
    </row>
    <row r="15">
      <c r="A15" s="6" t="inlineStr">
        <is>
          <t>E4</t>
        </is>
      </c>
      <c r="B15" s="6" t="inlineStr">
        <is>
          <t>Tag Compliance &amp; Findings</t>
        </is>
      </c>
      <c r="C15" s="6" t="inlineStr">
        <is>
          <t>R1</t>
        </is>
      </c>
      <c r="D15" s="6">
        <f>COUNTIFS(Backlog!$B$2:$B$67,A15,Backlog!$C$2:$C$67,B15)</f>
        <v/>
      </c>
      <c r="E15" s="6">
        <f>SUMIFS(Backlog!$I$2:$I$67,Backlog!$B$2:$B$67,A15,Backlog!$C$2:$C$67,B15)</f>
        <v/>
      </c>
    </row>
    <row r="16">
      <c r="A16" s="6" t="inlineStr">
        <is>
          <t>E5</t>
        </is>
      </c>
      <c r="B16" s="6" t="inlineStr">
        <is>
          <t>Ownership Attribution</t>
        </is>
      </c>
      <c r="C16" s="6" t="inlineStr">
        <is>
          <t>R1, R2</t>
        </is>
      </c>
      <c r="D16" s="6">
        <f>COUNTIFS(Backlog!$B$2:$B$67,A16,Backlog!$C$2:$C$67,B16)</f>
        <v/>
      </c>
      <c r="E16" s="6">
        <f>SUMIFS(Backlog!$I$2:$I$67,Backlog!$B$2:$B$67,A16,Backlog!$C$2:$C$67,B16)</f>
        <v/>
      </c>
    </row>
    <row r="17">
      <c r="A17" s="6" t="inlineStr">
        <is>
          <t>E6</t>
        </is>
      </c>
      <c r="B17" s="6" t="inlineStr">
        <is>
          <t>Notification Engine</t>
        </is>
      </c>
      <c r="C17" s="6" t="inlineStr">
        <is>
          <t>R1, R2</t>
        </is>
      </c>
      <c r="D17" s="6">
        <f>COUNTIFS(Backlog!$B$2:$B$67,A17,Backlog!$C$2:$C$67,B17)</f>
        <v/>
      </c>
      <c r="E17" s="6">
        <f>SUMIFS(Backlog!$I$2:$I$67,Backlog!$B$2:$B$67,A17,Backlog!$C$2:$C$67,B17)</f>
        <v/>
      </c>
    </row>
    <row r="18">
      <c r="A18" s="6" t="inlineStr">
        <is>
          <t>E7</t>
        </is>
      </c>
      <c r="B18" s="6" t="inlineStr">
        <is>
          <t>Governance Dashboard (Angular)</t>
        </is>
      </c>
      <c r="C18" s="6" t="inlineStr">
        <is>
          <t>R1, R2</t>
        </is>
      </c>
      <c r="D18" s="6">
        <f>COUNTIFS(Backlog!$B$2:$B$67,A18,Backlog!$C$2:$C$67,B18)</f>
        <v/>
      </c>
      <c r="E18" s="6">
        <f>SUMIFS(Backlog!$I$2:$I$67,Backlog!$B$2:$B$67,A18,Backlog!$C$2:$C$67,B18)</f>
        <v/>
      </c>
    </row>
    <row r="19">
      <c r="A19" s="6" t="inlineStr">
        <is>
          <t>E8</t>
        </is>
      </c>
      <c r="B19" s="6" t="inlineStr">
        <is>
          <t>Remediation Engine</t>
        </is>
      </c>
      <c r="C19" s="6" t="inlineStr">
        <is>
          <t>R2</t>
        </is>
      </c>
      <c r="D19" s="6">
        <f>COUNTIFS(Backlog!$B$2:$B$67,A19,Backlog!$C$2:$C$67,B19)</f>
        <v/>
      </c>
      <c r="E19" s="6">
        <f>SUMIFS(Backlog!$I$2:$I$67,Backlog!$B$2:$B$67,A19,Backlog!$C$2:$C$67,B19)</f>
        <v/>
      </c>
    </row>
    <row r="20">
      <c r="A20" s="6" t="inlineStr">
        <is>
          <t>E9</t>
        </is>
      </c>
      <c r="B20" s="6" t="inlineStr">
        <is>
          <t>Cost Governance</t>
        </is>
      </c>
      <c r="C20" s="6" t="inlineStr">
        <is>
          <t>R2</t>
        </is>
      </c>
      <c r="D20" s="6">
        <f>COUNTIFS(Backlog!$B$2:$B$67,A20,Backlog!$C$2:$C$67,B20)</f>
        <v/>
      </c>
      <c r="E20" s="6">
        <f>SUMIFS(Backlog!$I$2:$I$67,Backlog!$B$2:$B$67,A20,Backlog!$C$2:$C$67,B20)</f>
        <v/>
      </c>
    </row>
    <row r="21">
      <c r="A21" s="6" t="inlineStr">
        <is>
          <t>E10</t>
        </is>
      </c>
      <c r="B21" s="6" t="inlineStr">
        <is>
          <t>GenAI Insights (Bedrock)</t>
        </is>
      </c>
      <c r="C21" s="6" t="inlineStr">
        <is>
          <t>R2</t>
        </is>
      </c>
      <c r="D21" s="6">
        <f>COUNTIFS(Backlog!$B$2:$B$67,A21,Backlog!$C$2:$C$67,B21)</f>
        <v/>
      </c>
      <c r="E21" s="6">
        <f>SUMIFS(Backlog!$I$2:$I$67,Backlog!$B$2:$B$67,A21,Backlog!$C$2:$C$67,B21)</f>
        <v/>
      </c>
    </row>
    <row r="22">
      <c r="A22" s="6" t="inlineStr">
        <is>
          <t>E11</t>
        </is>
      </c>
      <c r="B22" s="6" t="inlineStr">
        <is>
          <t>Unused Resources &amp; IAM Hygiene</t>
        </is>
      </c>
      <c r="C22" s="6" t="inlineStr">
        <is>
          <t>R2, R3</t>
        </is>
      </c>
      <c r="D22" s="6">
        <f>COUNTIFS(Backlog!$B$2:$B$67,A22,Backlog!$C$2:$C$67,B22)</f>
        <v/>
      </c>
      <c r="E22" s="6">
        <f>SUMIFS(Backlog!$I$2:$I$67,Backlog!$B$2:$B$67,A22,Backlog!$C$2:$C$67,B22)</f>
        <v/>
      </c>
    </row>
    <row r="23">
      <c r="A23" s="6" t="inlineStr">
        <is>
          <t>E16</t>
        </is>
      </c>
      <c r="B23" s="6" t="inlineStr">
        <is>
          <t>R2 Hardening</t>
        </is>
      </c>
      <c r="C23" s="6" t="inlineStr">
        <is>
          <t>R2</t>
        </is>
      </c>
      <c r="D23" s="6">
        <f>COUNTIFS(Backlog!$B$2:$B$67,A23,Backlog!$C$2:$C$67,B23)</f>
        <v/>
      </c>
      <c r="E23" s="6">
        <f>SUMIFS(Backlog!$I$2:$I$67,Backlog!$B$2:$B$67,A23,Backlog!$C$2:$C$67,B23)</f>
        <v/>
      </c>
    </row>
    <row r="24">
      <c r="A24" s="6" t="inlineStr">
        <is>
          <t>E12</t>
        </is>
      </c>
      <c r="B24" s="6" t="inlineStr">
        <is>
          <t>Predictive Intelligence</t>
        </is>
      </c>
      <c r="C24" s="6" t="inlineStr">
        <is>
          <t>R3</t>
        </is>
      </c>
      <c r="D24" s="6">
        <f>COUNTIFS(Backlog!$B$2:$B$67,A24,Backlog!$C$2:$C$67,B24)</f>
        <v/>
      </c>
      <c r="E24" s="6">
        <f>SUMIFS(Backlog!$I$2:$I$67,Backlog!$B$2:$B$67,A24,Backlog!$C$2:$C$67,B24)</f>
        <v/>
      </c>
    </row>
    <row r="25">
      <c r="A25" s="6" t="inlineStr">
        <is>
          <t>E13</t>
        </is>
      </c>
      <c r="B25" s="6" t="inlineStr">
        <is>
          <t>Sandbox Utilization</t>
        </is>
      </c>
      <c r="C25" s="6" t="inlineStr">
        <is>
          <t>R3</t>
        </is>
      </c>
      <c r="D25" s="6">
        <f>COUNTIFS(Backlog!$B$2:$B$67,A25,Backlog!$C$2:$C$67,B25)</f>
        <v/>
      </c>
      <c r="E25" s="6">
        <f>SUMIFS(Backlog!$I$2:$I$67,Backlog!$B$2:$B$67,A25,Backlog!$C$2:$C$67,B25)</f>
        <v/>
      </c>
    </row>
    <row r="26">
      <c r="A26" s="6" t="inlineStr">
        <is>
          <t>E14</t>
        </is>
      </c>
      <c r="B26" s="6" t="inlineStr">
        <is>
          <t>NL Q&amp;A Copilot</t>
        </is>
      </c>
      <c r="C26" s="6" t="inlineStr">
        <is>
          <t>R3</t>
        </is>
      </c>
      <c r="D26" s="6">
        <f>COUNTIFS(Backlog!$B$2:$B$67,A26,Backlog!$C$2:$C$67,B26)</f>
        <v/>
      </c>
      <c r="E26" s="6">
        <f>SUMIFS(Backlog!$I$2:$I$67,Backlog!$B$2:$B$67,A26,Backlog!$C$2:$C$67,B26)</f>
        <v/>
      </c>
    </row>
    <row r="27">
      <c r="A27" s="6" t="inlineStr">
        <is>
          <t>E15</t>
        </is>
      </c>
      <c r="B27" s="6" t="inlineStr">
        <is>
          <t>SaaS &amp; Multi-Cloud Readiness</t>
        </is>
      </c>
      <c r="C27" s="6" t="inlineStr">
        <is>
          <t>R3</t>
        </is>
      </c>
      <c r="D27" s="6">
        <f>COUNTIFS(Backlog!$B$2:$B$67,A27,Backlog!$C$2:$C$67,B27)</f>
        <v/>
      </c>
      <c r="E27" s="6">
        <f>SUMIFS(Backlog!$I$2:$I$67,Backlog!$B$2:$B$67,A27,Backlog!$C$2:$C$67,B27)</f>
        <v/>
      </c>
    </row>
    <row r="28">
      <c r="B28" s="1" t="inlineStr">
        <is>
          <t>TOTAL</t>
        </is>
      </c>
      <c r="D28" s="1">
        <f>SUM(D12:D27)</f>
        <v/>
      </c>
      <c r="E28" s="1">
        <f>SUM(E12:E27)</f>
        <v/>
      </c>
    </row>
    <row r="30">
      <c r="A30" s="1" t="inlineStr">
        <is>
          <t>Load by role (all releases)</t>
        </is>
      </c>
    </row>
    <row r="31">
      <c r="A31" s="11" t="inlineStr">
        <is>
          <t>Role</t>
        </is>
      </c>
      <c r="B31" s="11" t="inlineStr">
        <is>
          <t>Stories</t>
        </is>
      </c>
      <c r="C31" s="11" t="inlineStr">
        <is>
          <t>Planned load (pd)</t>
        </is>
      </c>
    </row>
    <row r="32">
      <c r="A32" s="6" t="inlineStr">
        <is>
          <t>BE1</t>
        </is>
      </c>
      <c r="B32" s="6">
        <f>COUNTIFS(Backlog!$H$2:$H$67,A32)</f>
        <v/>
      </c>
      <c r="C32" s="6">
        <f>SUMIFS(Backlog!$I$2:$I$67,Backlog!$H$2:$H$67,A32)</f>
        <v/>
      </c>
    </row>
    <row r="33">
      <c r="A33" s="6" t="inlineStr">
        <is>
          <t>BE2</t>
        </is>
      </c>
      <c r="B33" s="6">
        <f>COUNTIFS(Backlog!$H$2:$H$67,A33)</f>
        <v/>
      </c>
      <c r="C33" s="6">
        <f>SUMIFS(Backlog!$I$2:$I$67,Backlog!$H$2:$H$67,A33)</f>
        <v/>
      </c>
    </row>
    <row r="34">
      <c r="A34" s="6" t="inlineStr">
        <is>
          <t>FE</t>
        </is>
      </c>
      <c r="B34" s="6">
        <f>COUNTIFS(Backlog!$H$2:$H$67,A34)</f>
        <v/>
      </c>
      <c r="C34" s="6">
        <f>SUMIFS(Backlog!$I$2:$I$67,Backlog!$H$2:$H$67,A34)</f>
        <v/>
      </c>
    </row>
    <row r="35">
      <c r="A35" s="6" t="inlineStr">
        <is>
          <t>DevOps</t>
        </is>
      </c>
      <c r="B35" s="6">
        <f>COUNTIFS(Backlog!$H$2:$H$67,A35)</f>
        <v/>
      </c>
      <c r="C35" s="6">
        <f>SUMIFS(Backlog!$I$2:$I$67,Backlog!$H$2:$H$67,A35)</f>
        <v/>
      </c>
    </row>
    <row r="37">
      <c r="A37" s="1" t="inlineStr">
        <is>
          <t>As built — story outcomes (October 2026)</t>
        </is>
      </c>
    </row>
    <row r="38">
      <c r="A38" s="8" t="inlineStr">
        <is>
          <t>Status</t>
        </is>
      </c>
      <c r="B38" s="8" t="inlineStr">
        <is>
          <t>Stories</t>
        </is>
      </c>
    </row>
    <row r="39">
      <c r="A39" s="6" t="inlineStr">
        <is>
          <t>Delivered — P1</t>
        </is>
      </c>
      <c r="B39" s="6">
        <f>COUNTIF(Backlog!$M$2:$M$67,A39)</f>
        <v/>
      </c>
    </row>
    <row r="40">
      <c r="A40" s="6" t="inlineStr">
        <is>
          <t>Delivered — P2</t>
        </is>
      </c>
      <c r="B40" s="6">
        <f>COUNTIF(Backlog!$M$2:$M$67,A40)</f>
        <v/>
      </c>
    </row>
    <row r="41">
      <c r="A41" s="6" t="inlineStr">
        <is>
          <t>Delivered differently</t>
        </is>
      </c>
      <c r="B41" s="6">
        <f>COUNTIF(Backlog!$M$2:$M$67,A41)</f>
        <v/>
      </c>
    </row>
    <row r="42">
      <c r="A42" s="6" t="inlineStr">
        <is>
          <t>Partly delivered</t>
        </is>
      </c>
      <c r="B42" s="6">
        <f>COUNTIF(Backlog!$M$2:$M$67,A42)</f>
        <v/>
      </c>
    </row>
    <row r="43">
      <c r="A43" s="6" t="inlineStr">
        <is>
          <t>Descoped</t>
        </is>
      </c>
      <c r="B43" s="6">
        <f>COUNTIF(Backlog!$M$2:$M$67,A43)</f>
        <v/>
      </c>
    </row>
    <row r="44">
      <c r="A44" s="6" t="inlineStr">
        <is>
          <t>Out of scope</t>
        </is>
      </c>
      <c r="B44" s="6">
        <f>COUNTIF(Backlog!$M$2:$M$67,A44)</f>
        <v/>
      </c>
    </row>
    <row r="45">
      <c r="A45" s="1" t="inlineStr">
        <is>
          <t>TOTAL</t>
        </is>
      </c>
      <c r="B45" s="1">
        <f>SUM(B39:B44)</f>
        <v/>
      </c>
    </row>
    <row r="46">
      <c r="A46" s="10" t="inlineStr">
        <is>
          <t>Built solo, spec-first, as six feature specs (481 tasks) rather than three releases by four people. The capacity and load figures above are the v1.0 plan, kept for comparison.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2026-08-13T22:12:11Z</dcterms:created>
  <dcterms:modified xmlns:dcterms="http://purl.org/dc/terms/" xmlns:xsi="http://www.w3.org/2001/XMLSchema-instance" xsi:type="dcterms:W3CDTF">2026-10-05T00:13:49Z</dcterms:modified>
  <cp:lastModifiedBy>Suman Kanrar</cp:lastModifiedBy>
  <cp:revision>0</cp:revision>
</cp:coreProperties>
</file>